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ignments" sheetId="1" r:id="rId4"/>
    <sheet state="visible" name="pre-scheduled" sheetId="2" r:id="rId5"/>
    <sheet state="hidden" name="Assignments_" sheetId="3" r:id="rId6"/>
    <sheet state="hidden" name="Assignments_agg" sheetId="4" r:id="rId7"/>
    <sheet state="visible" name="Faculty" sheetId="5" r:id="rId8"/>
    <sheet state="visible" name="General Preferences" sheetId="6" r:id="rId9"/>
    <sheet state="visible" name="Constraints &amp; Preferences" sheetId="7" r:id="rId10"/>
    <sheet state="visible" name="HardConstraints_sorted" sheetId="8" r:id="rId11"/>
    <sheet state="visible" name="Course Blocks" sheetId="9" r:id="rId12"/>
  </sheets>
  <definedNames/>
  <calcPr/>
</workbook>
</file>

<file path=xl/sharedStrings.xml><?xml version="1.0" encoding="utf-8"?>
<sst xmlns="http://schemas.openxmlformats.org/spreadsheetml/2006/main" count="2625" uniqueCount="638">
  <si>
    <t>#sections</t>
  </si>
  <si>
    <t>Instructor UCID: Type</t>
  </si>
  <si>
    <t>Slots</t>
  </si>
  <si>
    <t>Slots no Saturday</t>
  </si>
  <si>
    <t>#slots</t>
  </si>
  <si>
    <t>email</t>
  </si>
  <si>
    <t>acz6@njit.edu: Childcare</t>
  </si>
  <si>
    <t>|M5|T5|W5|R5|M6|T6|W6|R6|F6|M7|T7|W7|R7|F7|M8|T8|W8|R8|F8|</t>
  </si>
  <si>
    <t>acz6@njit.edu: Pref-1</t>
  </si>
  <si>
    <t>|M1|T1|W1|R1|M2|T2|W2|R2|F2|M3|T3|W3|R3|F3|T4|F4|</t>
  </si>
  <si>
    <t>acz6@njit.edu</t>
  </si>
  <si>
    <t>acz6@njit.edu: Pref-2</t>
  </si>
  <si>
    <t>|M2|T2|W2|R2|F2|M3|T3|W3|R3|F3|M4|T4|W4|R4|F4|F5|</t>
  </si>
  <si>
    <t>acz6@njit.edu: Pref-3</t>
  </si>
  <si>
    <t>|T1|W1|R1|M2|T2|W2|R2|F2|M3|T3|W3|R3|F3|M4|W4|F4|</t>
  </si>
  <si>
    <t>ahh2@njit.edu: Childcare</t>
  </si>
  <si>
    <t>|R4|R5|R6|R7|R8|</t>
  </si>
  <si>
    <t>ahh2@njit.edu</t>
  </si>
  <si>
    <t>ahh2@njit.edu: Health</t>
  </si>
  <si>
    <t>|M1|T1|W1|R1|F1|F2|F3|F4|F5|F6|F7|F8|</t>
  </si>
  <si>
    <t>ahh2@njit.edu: Pref-1</t>
  </si>
  <si>
    <t>|M2|W2|M4|T4|M5|T5|T7|</t>
  </si>
  <si>
    <t>ahh2@njit.edu: Pref-2</t>
  </si>
  <si>
    <t>|T2|R2|M4|T4|M5|T5|M7|</t>
  </si>
  <si>
    <t>ahh2@njit.edu: Pref-3</t>
  </si>
  <si>
    <t>|M2|R2|M4|T4|M5|T5|T7|</t>
  </si>
  <si>
    <t>ahh2@njit.edu: Religion</t>
  </si>
  <si>
    <t>|W7|W8|</t>
  </si>
  <si>
    <t>ak3257@njit.edu: Childcare</t>
  </si>
  <si>
    <t>|M1|T1|W1|R1|F1|</t>
  </si>
  <si>
    <t>ak3257@njit.edu</t>
  </si>
  <si>
    <t>ak3257@njit.edu: Pref-1</t>
  </si>
  <si>
    <t>|W3|W4|</t>
  </si>
  <si>
    <t>ak3257@njit.edu: Pref-2</t>
  </si>
  <si>
    <t>|T2|R2|T3|R3|T4|R4|T5|R5|</t>
  </si>
  <si>
    <t>ak3257@njit.edu: Pref-3</t>
  </si>
  <si>
    <t>|W2|R2|W3|R3|W4|R4|R5|R6|</t>
  </si>
  <si>
    <t>alexg@njit.edu: Pref-1</t>
  </si>
  <si>
    <t>|M3|W3|M4|W4|W7|W8|</t>
  </si>
  <si>
    <t>alexg@njit.edu</t>
  </si>
  <si>
    <t>alexg@njit.edu: Pref-2</t>
  </si>
  <si>
    <t>|M2|W2|M3|W3|M4|W4|T5|T6|</t>
  </si>
  <si>
    <t>alexg@njit.edu: Pref-3</t>
  </si>
  <si>
    <t>|W1|W2|F2|W3|W4|F4|F5|F6|</t>
  </si>
  <si>
    <t>alexg@njit.edu: Service</t>
  </si>
  <si>
    <t>|T2|T3|F3|T4|W5|W6|</t>
  </si>
  <si>
    <t>alexg@njit.edu: Soft</t>
  </si>
  <si>
    <t>|M1|T1|W1|R1|F1|F2|F3|F4|F5|F6|M7|F7|M8|F8|</t>
  </si>
  <si>
    <t>amr239@njit.edu: Service</t>
  </si>
  <si>
    <t>|R2|R3|</t>
  </si>
  <si>
    <t>amr239@njit.edu</t>
  </si>
  <si>
    <t>ap2972@njit.edu: Pref-1</t>
  </si>
  <si>
    <t>|T3|R3|</t>
  </si>
  <si>
    <t>ap2972@njit.edu</t>
  </si>
  <si>
    <t>ap2972@njit.edu: Pref-2</t>
  </si>
  <si>
    <t>|T4|R4|</t>
  </si>
  <si>
    <t>ap2972@njit.edu: Pref-3</t>
  </si>
  <si>
    <t>|T3|W3|R3|T4|W4|R4|T5|R5|T6|R6|</t>
  </si>
  <si>
    <t>azi3@njit.edu: Pref-1</t>
  </si>
  <si>
    <t>|M5|T5|W5|R5|M6|T6|W6|R6|M7|T7|W7|R7|M8|T8|W8|R8|</t>
  </si>
  <si>
    <t>azi3@njit.edu</t>
  </si>
  <si>
    <t>azi3@njit.edu: Pref-2</t>
  </si>
  <si>
    <t>|M4|T4|W4|R4|M5|T5|W5|R5|M7|T7|W7|R7|M8|T8|W8|R8|</t>
  </si>
  <si>
    <t>azi3@njit.edu: Pref-3</t>
  </si>
  <si>
    <t>|M4|T4|W4|R4|M6|T6|W6|R6|M7|T7|W7|R7|M8|T8|W8|R8|</t>
  </si>
  <si>
    <t>azi3@njit.edu: Religion</t>
  </si>
  <si>
    <t>|F4|</t>
  </si>
  <si>
    <t>azi3@njit.edu: Soft</t>
  </si>
  <si>
    <t>ba62@njit.edu: Pref-1</t>
  </si>
  <si>
    <t>|M1|T1|W1|R1|M2|T2|W2|R2|M3|T3|W3|R3|M4|T4|W4|R4|</t>
  </si>
  <si>
    <t>ba62@njit.edu</t>
  </si>
  <si>
    <t>ba62@njit.edu: Pref-2</t>
  </si>
  <si>
    <t>|M1|T1|W1|R1|F1|M3|T3|W3|R3|M4|T4|W4|R4|M5|T5|R5|</t>
  </si>
  <si>
    <t>ba62@njit.edu: Pref-3</t>
  </si>
  <si>
    <t>|M1|T1|W1|R1|F1|M2|T2|W2|R2|M4|T4|W4|R4|M5|T5|R5|</t>
  </si>
  <si>
    <t>ba62@njit.edu: Religion</t>
  </si>
  <si>
    <t>|F1|F2|F3|F4|F5|F6|F7|F8|</t>
  </si>
  <si>
    <t>ba62@njit.edu: Soft</t>
  </si>
  <si>
    <t>|M6|T6|W6|R6|F6|M7|T7|W7|R7|F7|M8|T8|W8|R8|F8|</t>
  </si>
  <si>
    <t>ce85@njit.edu: Pref-1</t>
  </si>
  <si>
    <t>|M4|R4|M5|R5|M7|R7|M8|R8|</t>
  </si>
  <si>
    <t>ce85@njit.edu</t>
  </si>
  <si>
    <t>ce85@njit.edu: Pref-2</t>
  </si>
  <si>
    <t>|T4|F4|T5|F5|T7|F7|T8|F8|</t>
  </si>
  <si>
    <t>ce85@njit.edu: Soft</t>
  </si>
  <si>
    <t>chasewu@njit.edu: Childcare</t>
  </si>
  <si>
    <t>|M6|T6|M7|T7|M8|T8|</t>
  </si>
  <si>
    <t>chasewu@njit.edu</t>
  </si>
  <si>
    <t>chasewu@njit.edu: Pref-1</t>
  </si>
  <si>
    <t>|W7|R7|W8|R8|</t>
  </si>
  <si>
    <t>chasewu@njit.edu: Service</t>
  </si>
  <si>
    <t>|R2|M3|R3|</t>
  </si>
  <si>
    <t>cliu@njit.edu: Health</t>
  </si>
  <si>
    <t>|M1|T1|W1|R1|F1|M7|T7|W7|R7|F7|M8|T8|W8|R8|F8|</t>
  </si>
  <si>
    <t>cliu@njit.edu</t>
  </si>
  <si>
    <t>cliu@njit.edu: Pref-1</t>
  </si>
  <si>
    <t>|M5|R5|M6|R6|</t>
  </si>
  <si>
    <t>crix@njit.edu: Childcare</t>
  </si>
  <si>
    <t>|F7|F8|</t>
  </si>
  <si>
    <t>crix@njit.edu</t>
  </si>
  <si>
    <t>crix@njit.edu: Pref-1</t>
  </si>
  <si>
    <t>|T7|R7|T8|R8|</t>
  </si>
  <si>
    <t>crix@njit.edu: Service</t>
  </si>
  <si>
    <t>daher@njit.edu: Pref-1</t>
  </si>
  <si>
    <t>|T3|W3|T4|W4|</t>
  </si>
  <si>
    <t>daher@njit.edu</t>
  </si>
  <si>
    <t>daher@njit.edu: Pref-2</t>
  </si>
  <si>
    <t>|W3|R3|W4|R4|</t>
  </si>
  <si>
    <t>daher@njit.edu: Pref-3</t>
  </si>
  <si>
    <t>|T3|R3|T4|R4|</t>
  </si>
  <si>
    <t>daher@njit.edu: Soft</t>
  </si>
  <si>
    <t>|M1|T1|W1|R1|F1|M2|T2|W2|R2|F2|M7|T7|W7|R7|F7|M8|T8|W8|R8|F8|</t>
  </si>
  <si>
    <t>dasg018@njit.edu: Childcare</t>
  </si>
  <si>
    <t>dasg018@njit.edu</t>
  </si>
  <si>
    <t>dasg018@njit.edu: Pref-1</t>
  </si>
  <si>
    <t>dasg018@njit.edu: Pref-2</t>
  </si>
  <si>
    <t>dasg018@njit.edu: Pref-3</t>
  </si>
  <si>
    <t>|M3|R3|</t>
  </si>
  <si>
    <t>dasg018@njit.edu: Soft</t>
  </si>
  <si>
    <t>|W2|F2|W3|F3|W4|F4|W5|F5|W6|F6|W7|F7|W8|F8|</t>
  </si>
  <si>
    <t>dli@njit.edu: Health</t>
  </si>
  <si>
    <t>|M1|T1|W1|R1|M2|T2|W2|R2|M3|T3|W3|R3|M4|T4|W4|R4|M5|T5|R5|M6|T6|R6|</t>
  </si>
  <si>
    <t>dli@njit.edu</t>
  </si>
  <si>
    <t>dli@njit.edu: Pref-1</t>
  </si>
  <si>
    <t>|F4|F5|F6|R7|F7|R8|F8|</t>
  </si>
  <si>
    <t>dli@njit.edu: Soft</t>
  </si>
  <si>
    <t>|M7|T7|W7|M8|T8|W8|</t>
  </si>
  <si>
    <t>dth@njit.edu: Childcare</t>
  </si>
  <si>
    <t>|M1|R1|F1|R2|F2|R3|F3|R4|F4|R5|F5|W6|R6|F6|W7|R7|F7|W8|R8|F8|</t>
  </si>
  <si>
    <t>dth@njit.edu</t>
  </si>
  <si>
    <t>dth@njit.edu: Pref-1</t>
  </si>
  <si>
    <t>|T2|W2|T3|W3|T4|W4|T5|T6|</t>
  </si>
  <si>
    <t>dth@njit.edu: Pref-2</t>
  </si>
  <si>
    <t>|M2|W2|M3|W3|M4|W4|M5|M6|</t>
  </si>
  <si>
    <t>dth@njit.edu: Pref-3</t>
  </si>
  <si>
    <t>|M3|T3|M4|T4|M5|T5|M6|T6|</t>
  </si>
  <si>
    <t>dth@njit.edu: Soft</t>
  </si>
  <si>
    <t>egan@njit.edu: Health</t>
  </si>
  <si>
    <t>|T1|W1|T2|W2|T3|W3|T4|W4|T5|W5|T6|W6|T7|W7|T8|W8|</t>
  </si>
  <si>
    <t>egan@njit.edu</t>
  </si>
  <si>
    <t>egan@njit.edu: Pref-1</t>
  </si>
  <si>
    <t>|M2|R2|M4|R4|M5|R5|</t>
  </si>
  <si>
    <t>ejt25@njit.edu: Pref-1</t>
  </si>
  <si>
    <t>|M2|W2|M3|W3|</t>
  </si>
  <si>
    <t>ejt25@njit.edu</t>
  </si>
  <si>
    <t>ejt25@njit.edu: Pref-2</t>
  </si>
  <si>
    <t>|T2|R2|M4|W4|</t>
  </si>
  <si>
    <t>ejt25@njit.edu: Pref-3</t>
  </si>
  <si>
    <t>ejt25@njit.edu: Soft</t>
  </si>
  <si>
    <t>fh224@njit.edu: Pref-1</t>
  </si>
  <si>
    <t>|M3|W3|R3|M4|W4|R4|M5|R5|M6|R6|M7|W7|R7|M8|W8|R8|</t>
  </si>
  <si>
    <t>fh224@njit.edu</t>
  </si>
  <si>
    <t>fh224@njit.edu: Pref-2</t>
  </si>
  <si>
    <t>|T3|W3|R3|T4|W4|R4|T5|R5|T6|R6|T7|W7|R7|T8|W8|R8|</t>
  </si>
  <si>
    <t>fh224@njit.edu: Pref-3</t>
  </si>
  <si>
    <t>|W3|R3|T4|W4|R4|T5|R5|F5|R6|F6|W7|R7|F7|W8|R8|F8|</t>
  </si>
  <si>
    <t>fy223@njit.edu: Pref-1</t>
  </si>
  <si>
    <t>|M2|T2|R2|F2|M3|T3|R3|F4|M5|T5|R5|F5|M6|T6|R6|F6|</t>
  </si>
  <si>
    <t>fy223@njit.edu</t>
  </si>
  <si>
    <t>fy223@njit.edu: Pref-2</t>
  </si>
  <si>
    <t>|M1|W1|M2|T2|W2|R2|T3|R3|M4|W4|M5|T5|R5|M6|T6|R6|</t>
  </si>
  <si>
    <t>fy223@njit.edu: Pref-3</t>
  </si>
  <si>
    <t>|W1|F1|M2|W2|R2|F2|M3|R3|W4|F4|M5|R5|F5|M6|R6|F6|</t>
  </si>
  <si>
    <t>fy223@njit.edu: Soft</t>
  </si>
  <si>
    <t>|M1|T1|W1|R1|F1|F2|F3|F4|F5|F6|M7|T7|W7|R7|F7|M8|T8|W8|R8|F8|</t>
  </si>
  <si>
    <t>geller@njit.edu: Pref-1</t>
  </si>
  <si>
    <t>|M4|M5|</t>
  </si>
  <si>
    <t>geller@njit.edu</t>
  </si>
  <si>
    <t>geller@njit.edu: Pref-2</t>
  </si>
  <si>
    <t>|M2|M3|</t>
  </si>
  <si>
    <t>geller@njit.edu: Pref-3</t>
  </si>
  <si>
    <t>|F1|F2|</t>
  </si>
  <si>
    <t>geller@njit.edu: Religion</t>
  </si>
  <si>
    <t>|T1|W1|T2|W2|T3|W3|T4|W4|T5|W5|F5|T6|W6|F6|T7|W7|F7|T8|W8|F8|</t>
  </si>
  <si>
    <t>geller@njit.edu: Soft</t>
  </si>
  <si>
    <t>|R1|R2|R3|R4|R5|R6|R7|R8|</t>
  </si>
  <si>
    <t>hyl4@njit.edu: Pref-1</t>
  </si>
  <si>
    <t>|W1|R1|F1|W2|R2|F2|W3|R3|F4|F5|W6|F6|W7|F7|W8|F8|</t>
  </si>
  <si>
    <t>hyl4@njit.edu</t>
  </si>
  <si>
    <t>hyl4@njit.edu: Soft</t>
  </si>
  <si>
    <t>|M1|T1|R1|M2|T2|R2|M3|T3|R3|M4|T4|R4|M5|T5|R5|M6|T6|R6|M7|T7|R7|M8|T8|R8|</t>
  </si>
  <si>
    <t>ikoutis@njit.edu: Pref-1</t>
  </si>
  <si>
    <t>|M5|T5|W5|R5|F5|M6|T6|W6|R6|F6|M7|T7|W7|R7|F7|M8|T8|W8|R8|F8|</t>
  </si>
  <si>
    <t>ikoutis@njit.edu</t>
  </si>
  <si>
    <t>ikoutis@njit.edu: Service</t>
  </si>
  <si>
    <t>|W1|R1|</t>
  </si>
  <si>
    <t>ikoutis@njit.edu: Soft</t>
  </si>
  <si>
    <t>ineamtiu@njit.edu: Childcare</t>
  </si>
  <si>
    <t>ineamtiu@njit.edu</t>
  </si>
  <si>
    <t>ineamtiu@njit.edu: Pref-1</t>
  </si>
  <si>
    <t>|T1|R1|F1|T2|</t>
  </si>
  <si>
    <t>ineamtiu@njit.edu: Pref-2</t>
  </si>
  <si>
    <t>|F1|T2|R2|F2|</t>
  </si>
  <si>
    <t>ineamtiu@njit.edu: Pref-3</t>
  </si>
  <si>
    <t>|F2|T3|R3|F3|</t>
  </si>
  <si>
    <t>ineamtiu@njit.edu: Service</t>
  </si>
  <si>
    <t>|T3|</t>
  </si>
  <si>
    <t>ineamtiu@njit.edu: Soft</t>
  </si>
  <si>
    <t>|M1|W1|M2|W2|M3|W3|M4|W4|</t>
  </si>
  <si>
    <t>itani@njit.edu: Childcare</t>
  </si>
  <si>
    <t>|T1|W1|T2|W2|T3|W3|T4|W4|T5|W5|T6|W6|</t>
  </si>
  <si>
    <t>itani@njit.edu</t>
  </si>
  <si>
    <t>itani@njit.edu: Health</t>
  </si>
  <si>
    <t>|M7|T7|W7|R7|F7|M8|T8|W8|R8|F8|</t>
  </si>
  <si>
    <t>itani@njit.edu: Pref-1</t>
  </si>
  <si>
    <t>|M1|R1|M2|R2|M3|R3|M4|R4|M5|R5|M6|R6|</t>
  </si>
  <si>
    <t>itani@njit.edu: Pref-2</t>
  </si>
  <si>
    <t>|T1|R1|T2|R2|T3|R3|T4|R4|T5|R5|T6|R6|</t>
  </si>
  <si>
    <t>itani@njit.edu: Pref-3</t>
  </si>
  <si>
    <t>|M1|W1|M2|W2|M3|W3|M4|W4|M5|M6|</t>
  </si>
  <si>
    <t>itani@njit.edu: Religion</t>
  </si>
  <si>
    <t>|F1|F2|F3|F4|F5|F6|</t>
  </si>
  <si>
    <t>jingli@njit.edu: Health</t>
  </si>
  <si>
    <t>jingli@njit.edu</t>
  </si>
  <si>
    <t>jingli@njit.edu: Pref-1</t>
  </si>
  <si>
    <t>|F3|F4|F5|F6|F7|F8|</t>
  </si>
  <si>
    <t>jingli@njit.edu: Pref-2</t>
  </si>
  <si>
    <t>|M2|M3|M4|M5|M6|M7|M8|</t>
  </si>
  <si>
    <t>jingli@njit.edu: Pref-3</t>
  </si>
  <si>
    <t>|W3|W4|W5|W6|W7|W8|</t>
  </si>
  <si>
    <t>jkb37@njit.edu: Pref-1</t>
  </si>
  <si>
    <t>|W2|R2|F2|T3|W3|R3|M4|T4|W4|R4|M5|T5|R5|M6|T6|R6|</t>
  </si>
  <si>
    <t>jkb37@njit.edu</t>
  </si>
  <si>
    <t>jq55@njit.edu: Childcare</t>
  </si>
  <si>
    <t>jq55@njit.edu</t>
  </si>
  <si>
    <t>jq55@njit.edu: Pref-1</t>
  </si>
  <si>
    <t>|M1|T1|W1|R1|F1|M2|T2|W2|R2|F2|M3|T3|W3|R3|F3|</t>
  </si>
  <si>
    <t>jq55@njit.edu: Soft</t>
  </si>
  <si>
    <t>|M4|T4|W4|R4|F4|</t>
  </si>
  <si>
    <t>js9@njit.edu: Childcare</t>
  </si>
  <si>
    <t>js9@njit.edu</t>
  </si>
  <si>
    <t>js9@njit.edu: Pref-1</t>
  </si>
  <si>
    <t>|M1|T1|W1|R1|M2|T2|W2|R2|M4|T4|W4|R4|M5|T5|W5|R5|</t>
  </si>
  <si>
    <t>js9@njit.edu: Pref-2</t>
  </si>
  <si>
    <t>js9@njit.edu: Pref-3</t>
  </si>
  <si>
    <t>|T1|R1|T2|W2|R2|F2|T3|W3|R3|F3|T4|R4|T5|R5|T6|R6|</t>
  </si>
  <si>
    <t>js9@njit.edu: Soft</t>
  </si>
  <si>
    <t>|T6|R6|</t>
  </si>
  <si>
    <t>jw65@njit.edu: Pref-1</t>
  </si>
  <si>
    <t>|M1|W1|M2|W2|M3|W3|M4|W4|M5|W5|M6|W6|M7|W7|</t>
  </si>
  <si>
    <t>jw65@njit.edu</t>
  </si>
  <si>
    <t>jw65@njit.edu: Pref-2</t>
  </si>
  <si>
    <t>|M2|W2|M3|T3|W3|R3|M4|T4|W4|R4|M5|T5|W5|R5|M6|T6|W6|R6|M7|T7|W7|R7|</t>
  </si>
  <si>
    <t>jw65@njit.edu: Pref-3</t>
  </si>
  <si>
    <t>|M2|W2|F2|M3|T3|W3|R3|F3|M4|T4|W4|R4|F4|M5|T5|W5|R5|F5|M6|T6|W6|R6|F6|M7|T7|W7|R7|F7|</t>
  </si>
  <si>
    <t>jw65@njit.edu: Religion</t>
  </si>
  <si>
    <t>|T1|R1|T2|R2|</t>
  </si>
  <si>
    <t>kb647@njit.edu: Pref-1</t>
  </si>
  <si>
    <t>|M5|T5|R5|F5|M6|T6|R6|F6|M7|T7|R7|F7|M8|T8|R8|F8|</t>
  </si>
  <si>
    <t>kb647@njit.edu</t>
  </si>
  <si>
    <t>kb647@njit.edu: Pref-2</t>
  </si>
  <si>
    <t>|M2|T2|R2|F2|M3|T3|R3|F3|M4|T4|R4|F4|M5|T5|R5|F5|</t>
  </si>
  <si>
    <t>kb647@njit.edu: Pref-3</t>
  </si>
  <si>
    <t>|M3|T3|R3|F3|M4|T4|R4|F4|M5|T5|R5|F5|M6|T6|R6|F6|</t>
  </si>
  <si>
    <t>kb647@njit.edu: Soft</t>
  </si>
  <si>
    <t>|M1|T1|W1|R1|F1|M2|T2|W2|R2|F2|</t>
  </si>
  <si>
    <t>kehoed@njit.edu: Childcare</t>
  </si>
  <si>
    <t>|M1|T1|W1|R1|F1|M4|T4|W4|F4|M5|T5|W5|F5|M6|T6|W6|F6|M7|T7|W7|F7|M8|T8|W8|F8|</t>
  </si>
  <si>
    <t>kehoed@njit.edu</t>
  </si>
  <si>
    <t>kehoed@njit.edu: Pref-1</t>
  </si>
  <si>
    <t>|M2|T2|W2|R2|M3|T3|W3|R3|R4|R5|R6|R7|R8|</t>
  </si>
  <si>
    <t>kj373@njit.edu: Childcare</t>
  </si>
  <si>
    <t>|W1|W2|M6|T6|R6|F6|M7|T7|W7|R7|F7|M8|T8|W8|R8|F8|</t>
  </si>
  <si>
    <t>kj373@njit.edu</t>
  </si>
  <si>
    <t>kj373@njit.edu: Pref-1</t>
  </si>
  <si>
    <t>|M3|T3|M4|T4|</t>
  </si>
  <si>
    <t>kj373@njit.edu: Pref-2</t>
  </si>
  <si>
    <t>|R3|F3|R4|F4|</t>
  </si>
  <si>
    <t>kj373@njit.edu: Pref-3</t>
  </si>
  <si>
    <t>|M2|T2|M3|T3|</t>
  </si>
  <si>
    <t>ko89@njit.edu: Pref-1</t>
  </si>
  <si>
    <t>|M1|T1|M2|T2|M3|T3|M4|T4|M5|T5|M6|T6|M7|T7|M8|T8|</t>
  </si>
  <si>
    <t>ko89@njit.edu</t>
  </si>
  <si>
    <t>ko89@njit.edu: Pref-2</t>
  </si>
  <si>
    <t>|T1|R1|T2|R2|T3|R3|T4|R4|T5|R5|T6|R6|T7|R7|T8|R8|</t>
  </si>
  <si>
    <t>ko89@njit.edu: Pref-3</t>
  </si>
  <si>
    <t>|M1|R1|M2|R2|M3|R3|M4|R4|M5|R5|M6|R6|M7|R7|M8|R8|</t>
  </si>
  <si>
    <t>kp759@njit.edu: Pref-1</t>
  </si>
  <si>
    <t>|M1|T1|W1|R1|F1|M2|T2|W2|R2|F2|M3|T3|W3|R3|M4|T4|W4|R4|M5|T5|R5|M6|T6|</t>
  </si>
  <si>
    <t>kp759@njit.edu</t>
  </si>
  <si>
    <t>kp759@njit.edu: Pref-2</t>
  </si>
  <si>
    <t>|M1|T1|W1|F1|M2|T2|W2|R2|F2|M3|T3|W3|R3|M4|T4|W4|R4|M5|T5|R5|M6|T6|</t>
  </si>
  <si>
    <t>kp759@njit.edu: Pref-3</t>
  </si>
  <si>
    <t>|M1|T1|W1|R1|F1|M2|T2|W2|R2|F2|M3|T3|W3|R3|M4|T4|W4|R4|M5|T5|R5|M6|T6|R6|</t>
  </si>
  <si>
    <t>krn9@njit.edu: Pref-1</t>
  </si>
  <si>
    <t>|T1|R1|F1|T2|R2|F2|T5|R5|F5|T6|R6|F6|T7|R7|F7|T8|R8|F8|</t>
  </si>
  <si>
    <t>krn9@njit.edu</t>
  </si>
  <si>
    <t>krn9@njit.edu: Pref-2</t>
  </si>
  <si>
    <t>krn9@njit.edu: Pref-3</t>
  </si>
  <si>
    <t>krn9@njit.edu: Soft</t>
  </si>
  <si>
    <t>|M1|W1|M2|W2|M3|W3|M4|W4|M5|W5|M6|W6|M7|W7|M8|W8|</t>
  </si>
  <si>
    <t>lay@njit.edu: Pref-1</t>
  </si>
  <si>
    <t>|T2|W2|R2|T3|W3|R3|T4|R4|T5|R5|T6|R6|</t>
  </si>
  <si>
    <t>lay@njit.edu</t>
  </si>
  <si>
    <t>lay@njit.edu: Religion</t>
  </si>
  <si>
    <t>|M1|T1|W1|R1|F1|F2|F3|F4|F5|F6|M7|W7|R7|F7|M8|W8|R8|F8|</t>
  </si>
  <si>
    <t>lay@njit.edu: Soft</t>
  </si>
  <si>
    <t>|M2|M3|M4|M5|M6|</t>
  </si>
  <si>
    <t>llw2@njit.edu: Pref-1</t>
  </si>
  <si>
    <t>|T1|R1|T2|R2|T4|R4|T5|R5|</t>
  </si>
  <si>
    <t>llw2@njit.edu</t>
  </si>
  <si>
    <t>llw2@njit.edu: Pref-2</t>
  </si>
  <si>
    <t>|T1|R1|T2|R2|T5|R5|T6|R6|</t>
  </si>
  <si>
    <t>llw2@njit.edu: Pref-3</t>
  </si>
  <si>
    <t>|T2|R2|T3|R3|T5|R5|T6|R6|</t>
  </si>
  <si>
    <t>lw29@njit.edu: Childcare</t>
  </si>
  <si>
    <t>|M1|T1|W1|R1|F1|W2|R2|W5|R5|W6|R6|M7|T7|W7|R7|F7|M8|T8|W8|R8|F8|</t>
  </si>
  <si>
    <t>lw29@njit.edu</t>
  </si>
  <si>
    <t>lw29@njit.edu: Pref-1</t>
  </si>
  <si>
    <t>|M2|T2|W2|R2|F2|M3|T3|W3|R3|M4|T4|W4|R4|F4|M5|T5|W5|F5|</t>
  </si>
  <si>
    <t>lw29@njit.edu: Service</t>
  </si>
  <si>
    <t>|R5|</t>
  </si>
  <si>
    <t>lw324@njit.edu: Pref-1</t>
  </si>
  <si>
    <t>|T2|W2|T3|W3|T5|T6|</t>
  </si>
  <si>
    <t>lw324@njit.edu</t>
  </si>
  <si>
    <t>lw324@njit.edu: Pref-2</t>
  </si>
  <si>
    <t>|F4|F5|F6|F7|</t>
  </si>
  <si>
    <t>lw324@njit.edu: Pref-3</t>
  </si>
  <si>
    <t>|R2|R3|R4|R5|R6|</t>
  </si>
  <si>
    <t>lw324@njit.edu: Service</t>
  </si>
  <si>
    <t>|T4|</t>
  </si>
  <si>
    <t>marvin@njit.edu: Childcare</t>
  </si>
  <si>
    <t>marvin@njit.edu</t>
  </si>
  <si>
    <t>marvin@njit.edu: Pref-1</t>
  </si>
  <si>
    <t>|M3|T3|W3|R3|M5|T5|R5|F5|</t>
  </si>
  <si>
    <t>marvin@njit.edu: Pref-2</t>
  </si>
  <si>
    <t>|M3|T3|W3|R3|M4|T4|W4|R4|F4|</t>
  </si>
  <si>
    <t>marvin@njit.edu: Pref-3</t>
  </si>
  <si>
    <t>|M4|T4|W4|R4|F4|M5|T5|R5|F5|</t>
  </si>
  <si>
    <t>mc232@njit.edu: Childcare</t>
  </si>
  <si>
    <t>mc232@njit.edu</t>
  </si>
  <si>
    <t>mc232@njit.edu: Pref-1</t>
  </si>
  <si>
    <t>|T2|F2|T3|T4|F4|T5|F5|</t>
  </si>
  <si>
    <t>mc232@njit.edu: Pref-2</t>
  </si>
  <si>
    <t>|F1|W2|F2|W3|W4|F4|F5|</t>
  </si>
  <si>
    <t>mc232@njit.edu: Pref-3</t>
  </si>
  <si>
    <t>|W1|W2|F2|W3|W4|F4|F5|</t>
  </si>
  <si>
    <t>mc232@njit.edu: Soft</t>
  </si>
  <si>
    <t>md685@njit.edu: Pref-1</t>
  </si>
  <si>
    <t>|W1|R1|F1|W2|R2|F2|W3|R3|W4|R4|F4|R5|F5|R6|F6|W7|R7|W8|R8|</t>
  </si>
  <si>
    <t>md685@njit.edu</t>
  </si>
  <si>
    <t>md685@njit.edu: Pref-2</t>
  </si>
  <si>
    <t>|W1|R1|T2|W2|R2|T3|W3|R3|T4|W4|R4|T5|R5|T6|R6|R7|R8|</t>
  </si>
  <si>
    <t>md685@njit.edu: Pref-3</t>
  </si>
  <si>
    <t>|M2|T2|W2|M3|T3|W3|M4|T4|W4|M5|T5|M6|T6|</t>
  </si>
  <si>
    <t>meh43@njit.edu: Pref-1</t>
  </si>
  <si>
    <t>meh43@njit.edu</t>
  </si>
  <si>
    <t>meh43@njit.edu: Soft</t>
  </si>
  <si>
    <t>mjk76@njit.edu: Pref-1</t>
  </si>
  <si>
    <t>|M2|W2|M3|W3|M4|W4|M5|W5|M6|W6|</t>
  </si>
  <si>
    <t>mjk76@njit.edu</t>
  </si>
  <si>
    <t>mjk76@njit.edu: Pref-2</t>
  </si>
  <si>
    <t>|T2|R2|T3|R3|T4|R4|T5|R5|T6|R6|</t>
  </si>
  <si>
    <t>mjk76@njit.edu: Pref-3</t>
  </si>
  <si>
    <t>|M2|R2|M3|R3|M4|R4|M5|R5|M6|R6|</t>
  </si>
  <si>
    <t>mjk76@njit.edu: Soft</t>
  </si>
  <si>
    <t>mjlee@njit.edu: Childcare</t>
  </si>
  <si>
    <t>|M4|T4|W4|R4|F4|M5|T5|W5|R5|F5|M6|T6|W6|R6|F6|M7|T7|W7|R7|F7|M8|T8|W8|R8|F8|</t>
  </si>
  <si>
    <t>mjlee@njit.edu</t>
  </si>
  <si>
    <t>mjlee@njit.edu: Pref-1</t>
  </si>
  <si>
    <t>|M2|T2|W2|R2|F2|M3|T3|W3|R3|F3|</t>
  </si>
  <si>
    <t>mjlee@njit.edu: Pref-2</t>
  </si>
  <si>
    <t>mjlee@njit.edu: Pref-3</t>
  </si>
  <si>
    <t>monogiou@njit.edu: Pref-1</t>
  </si>
  <si>
    <t>|M7|T7|W7|R7|M8|T8|W8|R8|</t>
  </si>
  <si>
    <t>monogiou@njit.edu</t>
  </si>
  <si>
    <t>monogiou@njit.edu: Pref-2</t>
  </si>
  <si>
    <t>|M1|T1|W1|R1|M2|T2|W2|R2|M3|T3|W3|R3|M4|T4|W4|R4|M5|T5|W5|R5|M6|T6|W6|R6|M7|T7|W7|R7|M8|T8|W8|R8|</t>
  </si>
  <si>
    <t>monogiou@njit.edu: Service</t>
  </si>
  <si>
    <t>mt85@njit.edu: Pref-1</t>
  </si>
  <si>
    <t>|M2|T2|W2|R2|M3|T3|W3|R3|M4|T4|W4|R4|</t>
  </si>
  <si>
    <t>mt85@njit.edu</t>
  </si>
  <si>
    <t>mt85@njit.edu: Pref-2</t>
  </si>
  <si>
    <t>mt85@njit.edu: Pref-3</t>
  </si>
  <si>
    <t>|M1|T1|W1|R1|M2|T2|W2|R2|M3|T3|W3|R3|M4|T4|W4|R4|M5|T5|W5|R5|</t>
  </si>
  <si>
    <t>mx6@njit.edu: Pref-1</t>
  </si>
  <si>
    <t>|F4|F5|F6|</t>
  </si>
  <si>
    <t>mx6@njit.edu</t>
  </si>
  <si>
    <t>mx6@njit.edu: Pref-2</t>
  </si>
  <si>
    <t>|R4|R5|R6|</t>
  </si>
  <si>
    <t>mx6@njit.edu: Pref-3</t>
  </si>
  <si>
    <t>|T4|T5|T6|</t>
  </si>
  <si>
    <t>mx6@njit.edu: Service</t>
  </si>
  <si>
    <t>|W5|</t>
  </si>
  <si>
    <t>mx6@njit.edu: Soft</t>
  </si>
  <si>
    <t>nassimi@njit.edu: Health</t>
  </si>
  <si>
    <t>nassimi@njit.edu</t>
  </si>
  <si>
    <t>nassimi@njit.edu: Pref-1</t>
  </si>
  <si>
    <t>|T3|R3|T5|R5|</t>
  </si>
  <si>
    <t>nassimi@njit.edu: Pref-2</t>
  </si>
  <si>
    <t>|T4|R4|T6|R6|</t>
  </si>
  <si>
    <t>nassimi@njit.edu: Pref-3</t>
  </si>
  <si>
    <t>|T2|R2|T4|R4|</t>
  </si>
  <si>
    <t>nassimi@njit.edu: Religion</t>
  </si>
  <si>
    <t>|F1|F3|F4|F5|F6|F7|F8|</t>
  </si>
  <si>
    <t>nm886@njit.edu: Pref-1</t>
  </si>
  <si>
    <t>|M2|T2|W2|R2|M3|T3|W3|R3|M5|T5|W5|R5|M6|T6|W6|R6|</t>
  </si>
  <si>
    <t>nm886@njit.edu</t>
  </si>
  <si>
    <t>nm886@njit.edu: Pref-2</t>
  </si>
  <si>
    <t>|M2|T2|W2|R2|F2|M3|T3|W3|R3|F3|M4|T4|W4|R4|F4|M5|T5|W5|R5|F5|M6|T6|W6|R6|F6|</t>
  </si>
  <si>
    <t>nn43@njit.edu: Pref-1</t>
  </si>
  <si>
    <t>nn43@njit.edu</t>
  </si>
  <si>
    <t>nn43@njit.edu: Soft</t>
  </si>
  <si>
    <t>oe2@njit.edu: Pref-1</t>
  </si>
  <si>
    <t>|T3|W3|R3|T4|W4|R4|T5|W5|R5|</t>
  </si>
  <si>
    <t>oe2@njit.edu</t>
  </si>
  <si>
    <t>oe2@njit.edu: Pref-2</t>
  </si>
  <si>
    <t>|T6|W6|R6|T7|W7|R7|T8|W8|R8|</t>
  </si>
  <si>
    <t>oe2@njit.edu: Soft</t>
  </si>
  <si>
    <t>pateldi@njit.edu: Pref-1</t>
  </si>
  <si>
    <t>|M2|W2|M3|W3|M4|W4|M5|M6|M7|W7|M8|W8|</t>
  </si>
  <si>
    <t>pateldi@njit.edu</t>
  </si>
  <si>
    <t>pateldi@njit.edu: Pref-2</t>
  </si>
  <si>
    <t>|T2|R2|T3|R3|T4|R4|T5|R5|T6|R6|T7|R7|T8|R8|</t>
  </si>
  <si>
    <t>pateldi@njit.edu: Pref-3</t>
  </si>
  <si>
    <t>|M2|T2|W2|R2|M3|T3|W3|R3|M4|T4|W4|R4|M5|T5|R5|M6|T6|R6|M7|T7|W7|R7|M8|T8|W8|R8|</t>
  </si>
  <si>
    <t>pateldi@njit.edu: Service</t>
  </si>
  <si>
    <t>pateldi@njit.edu: Soft</t>
  </si>
  <si>
    <t>|T1|R1|F1|F2|F3|F4|F5|F6|F7|F8|</t>
  </si>
  <si>
    <t>pvaish@njit.edu: Pref-1</t>
  </si>
  <si>
    <t>|T4|W4|R4|T5|W5|R5|T6|W6|R6|T7|W7|R7|T8|W8|R8|</t>
  </si>
  <si>
    <t>pvaish@njit.edu</t>
  </si>
  <si>
    <t>pvaish@njit.edu: Soft</t>
  </si>
  <si>
    <t>|M1|F1|M2|F2|M3|F3|M4|F4|M5|F5|M6|F6|M7|F7|M8|F8|</t>
  </si>
  <si>
    <t>rav6@njit.edu: Childcare</t>
  </si>
  <si>
    <t>rav6@njit.edu</t>
  </si>
  <si>
    <t>rav6@njit.edu: Health</t>
  </si>
  <si>
    <t>|F1|F2|F3|M4|F4|M5|F5|M6|F6|M7|T7|W7|R7|F7|M8|T8|W8|R8|F8|</t>
  </si>
  <si>
    <t>rav6@njit.edu: Pref-1</t>
  </si>
  <si>
    <t>|M1|T1|W1|R1|M2|W2|M3|W3|</t>
  </si>
  <si>
    <t>rav6@njit.edu: Pref-2</t>
  </si>
  <si>
    <t>rav6@njit.edu: Pref-3</t>
  </si>
  <si>
    <t>rav6@njit.edu: Religion</t>
  </si>
  <si>
    <t>rav6@njit.edu: Service</t>
  </si>
  <si>
    <t>|F1|T2|R2|F2|T3|R3|F3|T4|R4|F4|T5|R5|F5|T6|R6|F6|F7|F8|</t>
  </si>
  <si>
    <t>rk956@njit.edu: Childcare</t>
  </si>
  <si>
    <t>rk956@njit.edu</t>
  </si>
  <si>
    <t>rk956@njit.edu: Pref-1</t>
  </si>
  <si>
    <t>|T2|F2|T3|T4|F4|T5|F5|T6|F6|</t>
  </si>
  <si>
    <t>rk956@njit.edu: Pref-2</t>
  </si>
  <si>
    <t>|W2|F2|W3|W4|F4|F5|F6|</t>
  </si>
  <si>
    <t>rk956@njit.edu: Pref-3</t>
  </si>
  <si>
    <t>|W2|F2|M3|T3|R3|M4|T4|W4|R4|F4|M5|T5|W5|R5|F5|F6|</t>
  </si>
  <si>
    <t>rt494@njit.edu: Childcare</t>
  </si>
  <si>
    <t>rt494@njit.edu</t>
  </si>
  <si>
    <t>rt494@njit.edu: Pref-1</t>
  </si>
  <si>
    <t>|M3|M4|R4|F4|M5|R5|F5|M6|R6|F6|M7|R7|F7|M8|R8|F8|</t>
  </si>
  <si>
    <t>rt494@njit.edu: Pref-2</t>
  </si>
  <si>
    <t>|T3|T4|R4|F4|T5|R5|F5|T6|R6|F6|T7|R7|F7|T8|R8|F8|</t>
  </si>
  <si>
    <t>rt494@njit.edu: Pref-3</t>
  </si>
  <si>
    <t>|M3|R3|M4|R4|M5|R5|F5|M6|R6|F6|M7|R7|F7|M8|R8|F8|</t>
  </si>
  <si>
    <t>rt494@njit.edu: Soft</t>
  </si>
  <si>
    <t>rutkowsk@njit.edu: Pref-1</t>
  </si>
  <si>
    <t>|T2|W2|R2|T3|W3|R3|W4|T5|R5|T6|R6|T7|W7|R7|T8|W8|</t>
  </si>
  <si>
    <t>rutkowsk@njit.edu</t>
  </si>
  <si>
    <t>rutkowsk@njit.edu: Pref-2</t>
  </si>
  <si>
    <t>|T2|W2|R2|T3|W3|R3|T4|W4|R4|T6|R6|T7|W7|R7|T8|W8|</t>
  </si>
  <si>
    <t>rutkowsk@njit.edu: Pref-3</t>
  </si>
  <si>
    <t>|T1|W1|R1|F1|T2|W2|R2|F2|T4|W4|R4|R5|T7|W7|T8|W8|</t>
  </si>
  <si>
    <t>sbar@njit.edu: Pref-1</t>
  </si>
  <si>
    <t>|M3|T3|W3|R3|F3|M4|T4|W4|R4|F4|M5|T5|W5|R5|F5|</t>
  </si>
  <si>
    <t>sbar@njit.edu</t>
  </si>
  <si>
    <t>sbar@njit.edu: Pref-2</t>
  </si>
  <si>
    <t>|M4|T4|W4|R4|F4|M6|T6|W6|R6|F6|</t>
  </si>
  <si>
    <t>sbar@njit.edu: Pref-3</t>
  </si>
  <si>
    <t>|T3|W3|F3|M4|R4|T5|W5|F5|M6|R6|</t>
  </si>
  <si>
    <t>sbar@njit.edu: Soft</t>
  </si>
  <si>
    <t>senjutib@njit.edu: Childcare</t>
  </si>
  <si>
    <t>|M1|T1|W1|R1|F1|M5|T5|W5|R5|F5|</t>
  </si>
  <si>
    <t>senjutib@njit.edu</t>
  </si>
  <si>
    <t>senjutib@njit.edu: Pref-1</t>
  </si>
  <si>
    <t>|T1|R1|T2|R2|T3|T4|R4|</t>
  </si>
  <si>
    <t>senjutib@njit.edu: Pref-2</t>
  </si>
  <si>
    <t>|T1|R1|M2|T2|R2|M3|T3|M4|T4|R4|</t>
  </si>
  <si>
    <t>senjutib@njit.edu: Service</t>
  </si>
  <si>
    <t>|M1|W1|</t>
  </si>
  <si>
    <t>senjutib@njit.edu: Soft</t>
  </si>
  <si>
    <t>|W3|R3|</t>
  </si>
  <si>
    <t>sequeira@njit.edu: Childcare</t>
  </si>
  <si>
    <t>sequeira@njit.edu</t>
  </si>
  <si>
    <t>sequeira@njit.edu: Pref-1</t>
  </si>
  <si>
    <t>|M4|R4|M5|R5|</t>
  </si>
  <si>
    <t>sequeira@njit.edu: Pref-2</t>
  </si>
  <si>
    <t>sequeira@njit.edu: Pref-3</t>
  </si>
  <si>
    <t>|T4|R4|T5|R5|</t>
  </si>
  <si>
    <t>sequeira@njit.edu: Service</t>
  </si>
  <si>
    <t>|W2|M3|</t>
  </si>
  <si>
    <t>sequeira@njit.edu: Soft</t>
  </si>
  <si>
    <t>|F1|F2|F3|F4|F5|F6|M7|T7|W7|R7|F7|M8|T8|W8|R8|F8|</t>
  </si>
  <si>
    <t>skumar@njit.edu: Childcare</t>
  </si>
  <si>
    <t>skumar@njit.edu</t>
  </si>
  <si>
    <t>skumar@njit.edu: Health</t>
  </si>
  <si>
    <t>skumar@njit.edu: Pref-1</t>
  </si>
  <si>
    <t>|T2|T3|T4|T5|T6|</t>
  </si>
  <si>
    <t>skumar@njit.edu: Pref-2</t>
  </si>
  <si>
    <t>skumar@njit.edu: Religion</t>
  </si>
  <si>
    <t>skumar@njit.edu: Soft</t>
  </si>
  <si>
    <t>|R6|R7|R8|</t>
  </si>
  <si>
    <t>sohna@njit.edu: Health</t>
  </si>
  <si>
    <t>sohna@njit.edu</t>
  </si>
  <si>
    <t>sohna@njit.edu: Pref-1</t>
  </si>
  <si>
    <t>|M2|T2|W2|M4|T4|W4|R4|M5|T5|M6|T6|R6|</t>
  </si>
  <si>
    <t>sohna@njit.edu: Pref-2</t>
  </si>
  <si>
    <t>|M2|T2|W2|M4|T4|W4|T6|R6|</t>
  </si>
  <si>
    <t>sohna@njit.edu: Pref-3</t>
  </si>
  <si>
    <t>|M2|T2|W2|M4|T4|W4|M6|T6|</t>
  </si>
  <si>
    <t>sohna@njit.edu: Service</t>
  </si>
  <si>
    <t>sohna@njit.edu: Soft</t>
  </si>
  <si>
    <t>ss797@njit.edu: Health</t>
  </si>
  <si>
    <t>ss797@njit.edu</t>
  </si>
  <si>
    <t>ss797@njit.edu: Pref-1</t>
  </si>
  <si>
    <t>|M2|W2|M3|W3|M4|W4|M5|</t>
  </si>
  <si>
    <t>ss797@njit.edu: Pref-2</t>
  </si>
  <si>
    <t>ss797@njit.edu: Pref-3</t>
  </si>
  <si>
    <t>ss797@njit.edu: Soft</t>
  </si>
  <si>
    <t>sz457@njit.edu: Childcare</t>
  </si>
  <si>
    <t>sz457@njit.edu</t>
  </si>
  <si>
    <t>sz457@njit.edu: Pref-1</t>
  </si>
  <si>
    <t>sz457@njit.edu: Pref-2</t>
  </si>
  <si>
    <t>|M4|M5|M6|M7|M8|</t>
  </si>
  <si>
    <t>sz457@njit.edu: Soft</t>
  </si>
  <si>
    <t>|M2|T2|W2|R2|F2|M3|T3|W3|R3|F3|F4|F5|F6|F7|F8|</t>
  </si>
  <si>
    <t>tweiss@njit.edu: Childcare</t>
  </si>
  <si>
    <t>|M1|T1|F1|M2|T2|F2|M3|T3|F3|M4|F4|M5|F5|M6|F6|M7|R7|F7|M8|R8|F8|</t>
  </si>
  <si>
    <t>tweiss@njit.edu</t>
  </si>
  <si>
    <t>tweiss@njit.edu: Pref-1</t>
  </si>
  <si>
    <t>|W1|W2|T7|W7|T8|W8|</t>
  </si>
  <si>
    <t>tweiss@njit.edu: Pref-2</t>
  </si>
  <si>
    <t>|W1|W2|T5|T6|</t>
  </si>
  <si>
    <t>tweiss@njit.edu: Pref-3</t>
  </si>
  <si>
    <t>|W1|R1|W2|R2|W7|W8|</t>
  </si>
  <si>
    <t>tweiss@njit.edu: Religion</t>
  </si>
  <si>
    <t>|M1|T1|W1|R1|F1|M2|F2|M3|F3|M4|F4|M5|F5|M6|F6|M7|R7|F7|M8|R8|F8|</t>
  </si>
  <si>
    <t>tweiss@njit.edu: Soft</t>
  </si>
  <si>
    <t>|M1|T1|F1|M2|T2|F2|M3|T3|F3|M4|F4|M5|F5|M6|R6|F6|M7|R7|F7|M8|R8|F8|</t>
  </si>
  <si>
    <t>ullman@njit.edu: Pref-1</t>
  </si>
  <si>
    <t>|W1|T2|W2|R2|T3|W3|R3|T4|W4|R4|T5|M7|</t>
  </si>
  <si>
    <t>ullman@njit.edu</t>
  </si>
  <si>
    <t>ullman@njit.edu: Pref-2</t>
  </si>
  <si>
    <t>|T1|W1|R1|T2|W2|R2|T3|W3|R3|T4|W4|R4|</t>
  </si>
  <si>
    <t>ullman@njit.edu: Pref-3</t>
  </si>
  <si>
    <t>|T1|W1|R1|T2|W2|R2|T3|W3|R3|T4|M7|M8|</t>
  </si>
  <si>
    <t>ullman@njit.edu: Soft</t>
  </si>
  <si>
    <t>|</t>
  </si>
  <si>
    <t>usman@njit.edu: Health</t>
  </si>
  <si>
    <t>|M1|T1|W1|R1|F1|M2|T2|W2|R2|F2|M3|T3|W3|R3|F3|M4|T4|W4|R4|F4|M5|T5|W5|R5|F5|M6|T6|W6|R6|F6|M7|T7|W7|R7|F7|M8|T8|W8|R8|F8|</t>
  </si>
  <si>
    <t>usman@njit.edu</t>
  </si>
  <si>
    <t>vinnikov@njit.edu: Childcare</t>
  </si>
  <si>
    <t>|M1|T1|W1|R1|F1|M5|T5|W5|R5|F5|M6|T6|W6|R6|F6|</t>
  </si>
  <si>
    <t>vinnikov@njit.edu</t>
  </si>
  <si>
    <t>vinnikov@njit.edu: Pref-1</t>
  </si>
  <si>
    <t>|M2|W2|R2|M3|W3|R3|M4|W4|R4|</t>
  </si>
  <si>
    <t>vinnikov@njit.edu: Pref-2</t>
  </si>
  <si>
    <t>|M2|T2|R2|M3|T3|R3|M4|T4|R4|</t>
  </si>
  <si>
    <t>vinnikov@njit.edu: Pref-3</t>
  </si>
  <si>
    <t>|T2|W2|F2|T3|W3|F3|T4|W4|F4|</t>
  </si>
  <si>
    <t>vinnikov@njit.edu: Soft</t>
  </si>
  <si>
    <t>yl935@njit.edu: Pref-1</t>
  </si>
  <si>
    <t>|T1|F1|T2|F2|T3|T4|F4|T5|F5|T6|F6|T7|F7|T8|R8|F8|</t>
  </si>
  <si>
    <t>yl935@njit.edu</t>
  </si>
  <si>
    <t>yl935@njit.edu: Pref-2</t>
  </si>
  <si>
    <t>|M1|F1|M2|F2|M3|M4|F4|M5|F5|M6|F6|M7|F7|M8|R8|F8|</t>
  </si>
  <si>
    <t>yl935@njit.edu: Pref-3</t>
  </si>
  <si>
    <t>|R1|F1|R2|F2|R3|R4|F4|R5|F5|R6|F6|R7|F7|T8|R8|F8|</t>
  </si>
  <si>
    <t>zy8@njit.edu: Pref-1</t>
  </si>
  <si>
    <t>|M2|T2|W2|R2|M4|T4|W4|R4|</t>
  </si>
  <si>
    <t>zy8@njit.edu</t>
  </si>
  <si>
    <t>zy8@njit.edu: Pref-2</t>
  </si>
  <si>
    <t>|M2|T2|W2|R2|M3|T3|W3|R3|</t>
  </si>
  <si>
    <t>zy8@njit.edu: Pref-3</t>
  </si>
  <si>
    <t>|M2|W2|M4|W4|M5|M6|M7|W7|</t>
  </si>
  <si>
    <t>zy8@njit.edu: Soft</t>
  </si>
  <si>
    <t/>
  </si>
  <si>
    <t>Block-sem-4</t>
  </si>
  <si>
    <t>CS241</t>
  </si>
  <si>
    <t>CS280</t>
  </si>
  <si>
    <t>IS350</t>
  </si>
  <si>
    <t>Block-sem-5</t>
  </si>
  <si>
    <t>CS288</t>
  </si>
  <si>
    <t>CS332</t>
  </si>
  <si>
    <t>CS301</t>
  </si>
  <si>
    <t>CS356</t>
  </si>
  <si>
    <t>Block-sem-7</t>
  </si>
  <si>
    <t>CS341</t>
  </si>
  <si>
    <t>CS350</t>
  </si>
  <si>
    <t>CS351</t>
  </si>
  <si>
    <t>CS331</t>
  </si>
  <si>
    <t>CS375</t>
  </si>
  <si>
    <t>CS435</t>
  </si>
  <si>
    <t>CS490</t>
  </si>
  <si>
    <t>CS485</t>
  </si>
  <si>
    <t>CS370</t>
  </si>
  <si>
    <t>Block-sem-8</t>
  </si>
  <si>
    <t>CS491</t>
  </si>
  <si>
    <t>CS450</t>
  </si>
  <si>
    <t>CS482</t>
  </si>
  <si>
    <t>Block-grad-core</t>
  </si>
  <si>
    <t>CS610</t>
  </si>
  <si>
    <t>CS630</t>
  </si>
  <si>
    <t>CS631</t>
  </si>
  <si>
    <t>CS656</t>
  </si>
  <si>
    <t>DS675</t>
  </si>
  <si>
    <t>CS675</t>
  </si>
  <si>
    <t>CS670</t>
  </si>
  <si>
    <t>Block-grad-DS+Alg</t>
  </si>
  <si>
    <t>DS677</t>
  </si>
  <si>
    <t>DS669</t>
  </si>
  <si>
    <t>DS650</t>
  </si>
  <si>
    <t>CS665</t>
  </si>
  <si>
    <t>CS667</t>
  </si>
  <si>
    <t>CS732</t>
  </si>
  <si>
    <t>DS680</t>
  </si>
  <si>
    <t>Block-grad-cyber</t>
  </si>
  <si>
    <t>CS608</t>
  </si>
  <si>
    <t>CS645</t>
  </si>
  <si>
    <t>CS646</t>
  </si>
  <si>
    <t>CS647</t>
  </si>
  <si>
    <t>CS648</t>
  </si>
  <si>
    <t>CS678</t>
  </si>
  <si>
    <t>CS696</t>
  </si>
  <si>
    <t>Block-IS</t>
  </si>
  <si>
    <t>IS455</t>
  </si>
  <si>
    <t>IS645</t>
  </si>
  <si>
    <t>Block-IT</t>
  </si>
  <si>
    <t>IT220</t>
  </si>
  <si>
    <t>IT230</t>
  </si>
  <si>
    <t>IT240</t>
  </si>
  <si>
    <t>IT302</t>
  </si>
  <si>
    <t>Block-Game</t>
  </si>
  <si>
    <t>IT256</t>
  </si>
  <si>
    <t>IT266</t>
  </si>
  <si>
    <t>IT286</t>
  </si>
  <si>
    <t>IT360</t>
  </si>
  <si>
    <t>IT380</t>
  </si>
  <si>
    <t>IT383</t>
  </si>
  <si>
    <t>IT386</t>
  </si>
  <si>
    <t>Block-GITC1202</t>
  </si>
  <si>
    <t>IT120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</si>
</sst>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Font="1"/>
    <xf borderId="0" fillId="0" fontId="1" numFmtId="0" xfId="0" applyAlignment="1" applyFont="1">
      <alignment readingOrder="0"/>
    </xf>
    <xf borderId="0" fillId="3" fontId="1" numFmtId="0" xfId="0" applyFill="1" applyFont="1"/>
    <xf borderId="0" fillId="0" fontId="1" numFmtId="49" xfId="0" applyFont="1" applyNumberFormat="1"/>
    <xf borderId="0" fillId="4" fontId="1" numFmtId="0" xfId="0" applyFill="1" applyFont="1"/>
    <xf borderId="0" fillId="0" fontId="1" numFmtId="0" xfId="0" applyAlignment="1" applyFont="1">
      <alignment shrinkToFit="0" wrapText="1"/>
    </xf>
    <xf borderId="0" fillId="0" fontId="1" numFmtId="164" xfId="0" applyFont="1" applyNumberFormat="1"/>
    <xf borderId="0" fillId="0" fontId="2" numFmtId="0" xfId="0" applyAlignment="1" applyFont="1">
      <alignment readingOrder="0"/>
    </xf>
    <xf borderId="0" fillId="4" fontId="1" numFmtId="0" xfId="0" applyAlignment="1" applyFont="1">
      <alignment horizontal="left"/>
    </xf>
    <xf borderId="0" fillId="0" fontId="1" numFmtId="0" xfId="0" applyAlignment="1" applyFont="1">
      <alignment shrinkToFit="0" wrapText="0"/>
    </xf>
    <xf borderId="0" fillId="5" fontId="1" numFmtId="0" xfId="0" applyAlignment="1" applyFill="1" applyFont="1">
      <alignment readingOrder="0"/>
    </xf>
    <xf borderId="0" fillId="6" fontId="3" numFmtId="0" xfId="0" applyAlignment="1" applyFill="1" applyFont="1">
      <alignment horizontal="left" readingOrder="0"/>
    </xf>
    <xf borderId="0" fillId="2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32.5"/>
    <col hidden="1" min="5" max="6" width="12.63"/>
  </cols>
  <sheetData>
    <row r="1">
      <c r="A1" s="1" t="str">
        <f>IFERROR(__xludf.DUMMYFUNCTION("IMPORTRANGE(""1bCYHFuGRMdn7AM0-kFAGZf5lF2I-tWRleeAxNWvM5uY"", ""'toBeScheduled'!A:F"")"),"BNFO135")</f>
        <v>BNFO135</v>
      </c>
      <c r="B1" s="2" t="str">
        <f>IFERROR(__xludf.DUMMYFUNCTION("""COMPUTED_VALUE"""),"Yusuf, Fatima")</f>
        <v>Yusuf, Fatima</v>
      </c>
      <c r="C1" s="2">
        <f>IFERROR(__xludf.DUMMYFUNCTION("""COMPUTED_VALUE"""),35.0)</f>
        <v>35</v>
      </c>
      <c r="D1" s="2">
        <f>IFERROR(__xludf.DUMMYFUNCTION("""COMPUTED_VALUE"""),2.0)</f>
        <v>2</v>
      </c>
      <c r="E1" s="2">
        <f>IFERROR(__xludf.DUMMYFUNCTION("""COMPUTED_VALUE"""),70.0)</f>
        <v>70</v>
      </c>
      <c r="F1" s="2" t="str">
        <f>IFERROR(__xludf.DUMMYFUNCTION("""COMPUTED_VALUE"""),"Newark")</f>
        <v>Newark</v>
      </c>
      <c r="I1" s="3" t="s">
        <v>0</v>
      </c>
      <c r="J1" s="4">
        <f>sum(D1:D1720)</f>
        <v>184</v>
      </c>
    </row>
    <row r="2">
      <c r="A2" s="2" t="str">
        <f>IFERROR(__xludf.DUMMYFUNCTION("""COMPUTED_VALUE"""),"CS114")</f>
        <v>CS114</v>
      </c>
      <c r="B2" s="2" t="str">
        <f>IFERROR(__xludf.DUMMYFUNCTION("""COMPUTED_VALUE"""),"Zaidenberg, Ayelet")</f>
        <v>Zaidenberg, Ayelet</v>
      </c>
      <c r="C2" s="2">
        <f>IFERROR(__xludf.DUMMYFUNCTION("""COMPUTED_VALUE"""),80.0)</f>
        <v>80</v>
      </c>
      <c r="D2" s="2">
        <f>IFERROR(__xludf.DUMMYFUNCTION("""COMPUTED_VALUE"""),2.0)</f>
        <v>2</v>
      </c>
      <c r="E2" s="3">
        <f>IFERROR(__xludf.DUMMYFUNCTION("""COMPUTED_VALUE"""),160.0)</f>
        <v>160</v>
      </c>
      <c r="F2" s="2" t="str">
        <f>IFERROR(__xludf.DUMMYFUNCTION("""COMPUTED_VALUE"""),"Newark")</f>
        <v>Newark</v>
      </c>
    </row>
    <row r="3">
      <c r="A3" s="2" t="str">
        <f>IFERROR(__xludf.DUMMYFUNCTION("""COMPUTED_VALUE"""),"CS114")</f>
        <v>CS114</v>
      </c>
      <c r="B3" s="2" t="str">
        <f>IFERROR(__xludf.DUMMYFUNCTION("""COMPUTED_VALUE"""),"Kapleau, Jonathan")</f>
        <v>Kapleau, Jonathan</v>
      </c>
      <c r="C3" s="2">
        <f>IFERROR(__xludf.DUMMYFUNCTION("""COMPUTED_VALUE"""),80.0)</f>
        <v>80</v>
      </c>
      <c r="D3" s="2">
        <f>IFERROR(__xludf.DUMMYFUNCTION("""COMPUTED_VALUE"""),1.0)</f>
        <v>1</v>
      </c>
      <c r="E3" s="2">
        <f>IFERROR(__xludf.DUMMYFUNCTION("""COMPUTED_VALUE"""),80.0)</f>
        <v>80</v>
      </c>
      <c r="F3" s="2" t="str">
        <f>IFERROR(__xludf.DUMMYFUNCTION("""COMPUTED_VALUE"""),"Newark")</f>
        <v>Newark</v>
      </c>
    </row>
    <row r="4">
      <c r="A4" s="2" t="str">
        <f>IFERROR(__xludf.DUMMYFUNCTION("""COMPUTED_VALUE"""),"CS116")</f>
        <v>CS116</v>
      </c>
      <c r="B4" s="2" t="str">
        <f>IFERROR(__xludf.DUMMYFUNCTION("""COMPUTED_VALUE"""),"Wu, Jun")</f>
        <v>Wu, Jun</v>
      </c>
      <c r="C4" s="2">
        <f>IFERROR(__xludf.DUMMYFUNCTION("""COMPUTED_VALUE"""),35.0)</f>
        <v>35</v>
      </c>
      <c r="D4" s="2">
        <f>IFERROR(__xludf.DUMMYFUNCTION("""COMPUTED_VALUE"""),2.0)</f>
        <v>2</v>
      </c>
      <c r="E4" s="2">
        <f>IFERROR(__xludf.DUMMYFUNCTION("""COMPUTED_VALUE"""),70.0)</f>
        <v>70</v>
      </c>
      <c r="F4" s="2" t="str">
        <f>IFERROR(__xludf.DUMMYFUNCTION("""COMPUTED_VALUE"""),"Newark")</f>
        <v>Newark</v>
      </c>
    </row>
    <row r="5">
      <c r="A5" s="2" t="str">
        <f>IFERROR(__xludf.DUMMYFUNCTION("""COMPUTED_VALUE"""),"CS241")</f>
        <v>CS241</v>
      </c>
      <c r="B5" s="2" t="str">
        <f>IFERROR(__xludf.DUMMYFUNCTION("""COMPUTED_VALUE"""),"Zaidenberg, Ayelet")</f>
        <v>Zaidenberg, Ayelet</v>
      </c>
      <c r="C5" s="2">
        <f>IFERROR(__xludf.DUMMYFUNCTION("""COMPUTED_VALUE"""),80.0)</f>
        <v>80</v>
      </c>
      <c r="D5" s="2">
        <f>IFERROR(__xludf.DUMMYFUNCTION("""COMPUTED_VALUE"""),1.0)</f>
        <v>1</v>
      </c>
      <c r="E5" s="2">
        <f>IFERROR(__xludf.DUMMYFUNCTION("""COMPUTED_VALUE"""),80.0)</f>
        <v>80</v>
      </c>
      <c r="F5" s="2" t="str">
        <f>IFERROR(__xludf.DUMMYFUNCTION("""COMPUTED_VALUE"""),"Newark")</f>
        <v>Newark</v>
      </c>
    </row>
    <row r="6">
      <c r="A6" s="2" t="str">
        <f>IFERROR(__xludf.DUMMYFUNCTION("""COMPUTED_VALUE"""),"CS241")</f>
        <v>CS241</v>
      </c>
      <c r="B6" s="2" t="str">
        <f>IFERROR(__xludf.DUMMYFUNCTION("""COMPUTED_VALUE"""),"Ionescu, Adrian")</f>
        <v>Ionescu, Adrian</v>
      </c>
      <c r="C6" s="2">
        <f>IFERROR(__xludf.DUMMYFUNCTION("""COMPUTED_VALUE"""),40.0)</f>
        <v>40</v>
      </c>
      <c r="D6" s="2">
        <f>IFERROR(__xludf.DUMMYFUNCTION("""COMPUTED_VALUE"""),1.0)</f>
        <v>1</v>
      </c>
      <c r="E6" s="2">
        <f>IFERROR(__xludf.DUMMYFUNCTION("""COMPUTED_VALUE"""),40.0)</f>
        <v>40</v>
      </c>
      <c r="F6" s="2" t="str">
        <f>IFERROR(__xludf.DUMMYFUNCTION("""COMPUTED_VALUE"""),"Newark")</f>
        <v>Newark</v>
      </c>
    </row>
    <row r="7">
      <c r="A7" s="2" t="str">
        <f>IFERROR(__xludf.DUMMYFUNCTION("""COMPUTED_VALUE"""),"CS241")</f>
        <v>CS241</v>
      </c>
      <c r="B7" s="2" t="str">
        <f>IFERROR(__xludf.DUMMYFUNCTION("""COMPUTED_VALUE"""),"Naik, Kamlesh")</f>
        <v>Naik, Kamlesh</v>
      </c>
      <c r="C7" s="2">
        <f>IFERROR(__xludf.DUMMYFUNCTION("""COMPUTED_VALUE"""),40.0)</f>
        <v>40</v>
      </c>
      <c r="D7" s="2">
        <f>IFERROR(__xludf.DUMMYFUNCTION("""COMPUTED_VALUE"""),1.0)</f>
        <v>1</v>
      </c>
      <c r="E7" s="2">
        <f>IFERROR(__xludf.DUMMYFUNCTION("""COMPUTED_VALUE"""),40.0)</f>
        <v>40</v>
      </c>
      <c r="F7" s="2" t="str">
        <f>IFERROR(__xludf.DUMMYFUNCTION("""COMPUTED_VALUE"""),"Newark")</f>
        <v>Newark</v>
      </c>
    </row>
    <row r="8">
      <c r="A8" s="2" t="str">
        <f>IFERROR(__xludf.DUMMYFUNCTION("""COMPUTED_VALUE"""),"CS288")</f>
        <v>CS288</v>
      </c>
      <c r="B8" s="2" t="str">
        <f>IFERROR(__xludf.DUMMYFUNCTION("""COMPUTED_VALUE"""),"Dale, Mohit")</f>
        <v>Dale, Mohit</v>
      </c>
      <c r="C8" s="2">
        <f>IFERROR(__xludf.DUMMYFUNCTION("""COMPUTED_VALUE"""),80.0)</f>
        <v>80</v>
      </c>
      <c r="D8" s="2">
        <f>IFERROR(__xludf.DUMMYFUNCTION("""COMPUTED_VALUE"""),3.0)</f>
        <v>3</v>
      </c>
      <c r="E8" s="2">
        <f>IFERROR(__xludf.DUMMYFUNCTION("""COMPUTED_VALUE"""),240.0)</f>
        <v>240</v>
      </c>
      <c r="F8" s="2" t="str">
        <f>IFERROR(__xludf.DUMMYFUNCTION("""COMPUTED_VALUE"""),"Newark")</f>
        <v>Newark</v>
      </c>
    </row>
    <row r="9">
      <c r="A9" s="2" t="str">
        <f>IFERROR(__xludf.DUMMYFUNCTION("""COMPUTED_VALUE"""),"CS301")</f>
        <v>CS301</v>
      </c>
      <c r="B9" s="2" t="str">
        <f>IFERROR(__xludf.DUMMYFUNCTION("""COMPUTED_VALUE"""),"Basu Roy, Senjuti")</f>
        <v>Basu Roy, Senjuti</v>
      </c>
      <c r="C9" s="2">
        <f>IFERROR(__xludf.DUMMYFUNCTION("""COMPUTED_VALUE"""),80.0)</f>
        <v>80</v>
      </c>
      <c r="D9" s="2">
        <f>IFERROR(__xludf.DUMMYFUNCTION("""COMPUTED_VALUE"""),1.0)</f>
        <v>1</v>
      </c>
      <c r="E9" s="2">
        <f>IFERROR(__xludf.DUMMYFUNCTION("""COMPUTED_VALUE"""),80.0)</f>
        <v>80</v>
      </c>
      <c r="F9" s="2" t="str">
        <f>IFERROR(__xludf.DUMMYFUNCTION("""COMPUTED_VALUE"""),"Newark")</f>
        <v>Newark</v>
      </c>
    </row>
    <row r="10">
      <c r="A10" s="2" t="str">
        <f>IFERROR(__xludf.DUMMYFUNCTION("""COMPUTED_VALUE"""),"CS301")</f>
        <v>CS301</v>
      </c>
      <c r="B10" s="2" t="str">
        <f>IFERROR(__xludf.DUMMYFUNCTION("""COMPUTED_VALUE"""),"Li, Yajuan")</f>
        <v>Li, Yajuan</v>
      </c>
      <c r="C10" s="2">
        <f>IFERROR(__xludf.DUMMYFUNCTION("""COMPUTED_VALUE"""),40.0)</f>
        <v>40</v>
      </c>
      <c r="D10" s="2">
        <f>IFERROR(__xludf.DUMMYFUNCTION("""COMPUTED_VALUE"""),2.0)</f>
        <v>2</v>
      </c>
      <c r="E10" s="2">
        <f>IFERROR(__xludf.DUMMYFUNCTION("""COMPUTED_VALUE"""),80.0)</f>
        <v>80</v>
      </c>
      <c r="F10" s="2" t="str">
        <f>IFERROR(__xludf.DUMMYFUNCTION("""COMPUTED_VALUE"""),"Newark")</f>
        <v>Newark</v>
      </c>
    </row>
    <row r="11">
      <c r="A11" s="2" t="str">
        <f>IFERROR(__xludf.DUMMYFUNCTION("""COMPUTED_VALUE"""),"CS331")</f>
        <v>CS331</v>
      </c>
      <c r="B11" s="2" t="str">
        <f>IFERROR(__xludf.DUMMYFUNCTION("""COMPUTED_VALUE"""),"Eren, Canan")</f>
        <v>Eren, Canan</v>
      </c>
      <c r="C11" s="2">
        <f>IFERROR(__xludf.DUMMYFUNCTION("""COMPUTED_VALUE"""),80.0)</f>
        <v>80</v>
      </c>
      <c r="D11" s="2">
        <f>IFERROR(__xludf.DUMMYFUNCTION("""COMPUTED_VALUE"""),2.0)</f>
        <v>2</v>
      </c>
      <c r="E11" s="2">
        <f>IFERROR(__xludf.DUMMYFUNCTION("""COMPUTED_VALUE"""),160.0)</f>
        <v>160</v>
      </c>
      <c r="F11" s="2" t="str">
        <f>IFERROR(__xludf.DUMMYFUNCTION("""COMPUTED_VALUE"""),"Newark")</f>
        <v>Newark</v>
      </c>
    </row>
    <row r="12">
      <c r="A12" s="2" t="str">
        <f>IFERROR(__xludf.DUMMYFUNCTION("""COMPUTED_VALUE"""),"CS332")</f>
        <v>CS332</v>
      </c>
      <c r="B12" s="2" t="str">
        <f>IFERROR(__xludf.DUMMYFUNCTION("""COMPUTED_VALUE"""),"Naik, Kamlesh")</f>
        <v>Naik, Kamlesh</v>
      </c>
      <c r="C12" s="2">
        <f>IFERROR(__xludf.DUMMYFUNCTION("""COMPUTED_VALUE"""),40.0)</f>
        <v>40</v>
      </c>
      <c r="D12" s="2">
        <f>IFERROR(__xludf.DUMMYFUNCTION("""COMPUTED_VALUE"""),2.0)</f>
        <v>2</v>
      </c>
      <c r="E12" s="2">
        <f>IFERROR(__xludf.DUMMYFUNCTION("""COMPUTED_VALUE"""),80.0)</f>
        <v>80</v>
      </c>
      <c r="F12" s="2" t="str">
        <f>IFERROR(__xludf.DUMMYFUNCTION("""COMPUTED_VALUE"""),"Newark")</f>
        <v>Newark</v>
      </c>
    </row>
    <row r="13">
      <c r="A13" s="2" t="str">
        <f>IFERROR(__xludf.DUMMYFUNCTION("""COMPUTED_VALUE"""),"CS332")</f>
        <v>CS332</v>
      </c>
      <c r="B13" s="2" t="str">
        <f>IFERROR(__xludf.DUMMYFUNCTION("""COMPUTED_VALUE"""),"Gerbessiotis, Alexandros")</f>
        <v>Gerbessiotis, Alexandros</v>
      </c>
      <c r="C13" s="2">
        <f>IFERROR(__xludf.DUMMYFUNCTION("""COMPUTED_VALUE"""),40.0)</f>
        <v>40</v>
      </c>
      <c r="D13" s="2">
        <f>IFERROR(__xludf.DUMMYFUNCTION("""COMPUTED_VALUE"""),2.0)</f>
        <v>2</v>
      </c>
      <c r="E13" s="2">
        <f>IFERROR(__xludf.DUMMYFUNCTION("""COMPUTED_VALUE"""),80.0)</f>
        <v>80</v>
      </c>
      <c r="F13" s="2" t="str">
        <f>IFERROR(__xludf.DUMMYFUNCTION("""COMPUTED_VALUE"""),"Newark")</f>
        <v>Newark</v>
      </c>
    </row>
    <row r="14">
      <c r="A14" s="2" t="str">
        <f>IFERROR(__xludf.DUMMYFUNCTION("""COMPUTED_VALUE"""),"CS337")</f>
        <v>CS337</v>
      </c>
      <c r="B14" s="2" t="str">
        <f>IFERROR(__xludf.DUMMYFUNCTION("""COMPUTED_VALUE"""),"Calvin, James")</f>
        <v>Calvin, James</v>
      </c>
      <c r="C14" s="2">
        <f>IFERROR(__xludf.DUMMYFUNCTION("""COMPUTED_VALUE"""),40.0)</f>
        <v>40</v>
      </c>
      <c r="D14" s="2">
        <f>IFERROR(__xludf.DUMMYFUNCTION("""COMPUTED_VALUE"""),1.0)</f>
        <v>1</v>
      </c>
      <c r="E14" s="2">
        <f>IFERROR(__xludf.DUMMYFUNCTION("""COMPUTED_VALUE"""),40.0)</f>
        <v>40</v>
      </c>
      <c r="F14" s="2" t="str">
        <f>IFERROR(__xludf.DUMMYFUNCTION("""COMPUTED_VALUE"""),"Newark")</f>
        <v>Newark</v>
      </c>
    </row>
    <row r="15">
      <c r="A15" s="2" t="str">
        <f>IFERROR(__xludf.DUMMYFUNCTION("""COMPUTED_VALUE"""),"CS341")</f>
        <v>CS341</v>
      </c>
      <c r="B15" s="2" t="str">
        <f>IFERROR(__xludf.DUMMYFUNCTION("""COMPUTED_VALUE"""),"Kaur, Arashdeep")</f>
        <v>Kaur, Arashdeep</v>
      </c>
      <c r="C15" s="2">
        <f>IFERROR(__xludf.DUMMYFUNCTION("""COMPUTED_VALUE"""),60.0)</f>
        <v>60</v>
      </c>
      <c r="D15" s="2">
        <f>IFERROR(__xludf.DUMMYFUNCTION("""COMPUTED_VALUE"""),2.0)</f>
        <v>2</v>
      </c>
      <c r="E15" s="2">
        <f>IFERROR(__xludf.DUMMYFUNCTION("""COMPUTED_VALUE"""),120.0)</f>
        <v>120</v>
      </c>
      <c r="F15" s="2" t="str">
        <f>IFERROR(__xludf.DUMMYFUNCTION("""COMPUTED_VALUE"""),"Newark")</f>
        <v>Newark</v>
      </c>
    </row>
    <row r="16">
      <c r="A16" s="2" t="str">
        <f>IFERROR(__xludf.DUMMYFUNCTION("""COMPUTED_VALUE"""),"CS350")</f>
        <v>CS350</v>
      </c>
      <c r="B16" s="2" t="str">
        <f>IFERROR(__xludf.DUMMYFUNCTION("""COMPUTED_VALUE"""),"Sohn, Andrew")</f>
        <v>Sohn, Andrew</v>
      </c>
      <c r="C16" s="2">
        <f>IFERROR(__xludf.DUMMYFUNCTION("""COMPUTED_VALUE"""),80.0)</f>
        <v>80</v>
      </c>
      <c r="D16" s="2">
        <f>IFERROR(__xludf.DUMMYFUNCTION("""COMPUTED_VALUE"""),1.0)</f>
        <v>1</v>
      </c>
      <c r="E16" s="2">
        <f>IFERROR(__xludf.DUMMYFUNCTION("""COMPUTED_VALUE"""),80.0)</f>
        <v>80</v>
      </c>
      <c r="F16" s="2" t="str">
        <f>IFERROR(__xludf.DUMMYFUNCTION("""COMPUTED_VALUE"""),"Newark")</f>
        <v>Newark</v>
      </c>
    </row>
    <row r="17">
      <c r="A17" s="2" t="str">
        <f>IFERROR(__xludf.DUMMYFUNCTION("""COMPUTED_VALUE"""),"CS350")</f>
        <v>CS350</v>
      </c>
      <c r="B17" s="2" t="str">
        <f>IFERROR(__xludf.DUMMYFUNCTION("""COMPUTED_VALUE"""),"Itani, Abdul-Rahman")</f>
        <v>Itani, Abdul-Rahman</v>
      </c>
      <c r="C17" s="2">
        <f>IFERROR(__xludf.DUMMYFUNCTION("""COMPUTED_VALUE"""),43.0)</f>
        <v>43</v>
      </c>
      <c r="D17" s="2">
        <f>IFERROR(__xludf.DUMMYFUNCTION("""COMPUTED_VALUE"""),4.0)</f>
        <v>4</v>
      </c>
      <c r="E17" s="2">
        <f>IFERROR(__xludf.DUMMYFUNCTION("""COMPUTED_VALUE"""),172.0)</f>
        <v>172</v>
      </c>
      <c r="F17" s="2" t="str">
        <f>IFERROR(__xludf.DUMMYFUNCTION("""COMPUTED_VALUE"""),"Newark")</f>
        <v>Newark</v>
      </c>
    </row>
    <row r="18">
      <c r="A18" s="2" t="str">
        <f>IFERROR(__xludf.DUMMYFUNCTION("""COMPUTED_VALUE"""),"CS351")</f>
        <v>CS351</v>
      </c>
      <c r="B18" s="2" t="str">
        <f>IFERROR(__xludf.DUMMYFUNCTION("""COMPUTED_VALUE"""),"Hamidli, Fuad")</f>
        <v>Hamidli, Fuad</v>
      </c>
      <c r="C18" s="2">
        <f>IFERROR(__xludf.DUMMYFUNCTION("""COMPUTED_VALUE"""),60.0)</f>
        <v>60</v>
      </c>
      <c r="D18" s="2">
        <f>IFERROR(__xludf.DUMMYFUNCTION("""COMPUTED_VALUE"""),1.0)</f>
        <v>1</v>
      </c>
      <c r="E18" s="2">
        <f>IFERROR(__xludf.DUMMYFUNCTION("""COMPUTED_VALUE"""),60.0)</f>
        <v>60</v>
      </c>
      <c r="F18" s="2" t="str">
        <f>IFERROR(__xludf.DUMMYFUNCTION("""COMPUTED_VALUE"""),"Newark")</f>
        <v>Newark</v>
      </c>
    </row>
    <row r="19">
      <c r="A19" s="2" t="str">
        <f>IFERROR(__xludf.DUMMYFUNCTION("""COMPUTED_VALUE"""),"CS351")</f>
        <v>CS351</v>
      </c>
      <c r="B19" s="2" t="str">
        <f>IFERROR(__xludf.DUMMYFUNCTION("""COMPUTED_VALUE"""),"Raza, Asad")</f>
        <v>Raza, Asad</v>
      </c>
      <c r="C19" s="2">
        <f>IFERROR(__xludf.DUMMYFUNCTION("""COMPUTED_VALUE"""),60.0)</f>
        <v>60</v>
      </c>
      <c r="D19" s="2">
        <f>IFERROR(__xludf.DUMMYFUNCTION("""COMPUTED_VALUE"""),1.0)</f>
        <v>1</v>
      </c>
      <c r="E19" s="2">
        <f>IFERROR(__xludf.DUMMYFUNCTION("""COMPUTED_VALUE"""),60.0)</f>
        <v>60</v>
      </c>
      <c r="F19" s="2" t="str">
        <f>IFERROR(__xludf.DUMMYFUNCTION("""COMPUTED_VALUE"""),"Newark")</f>
        <v>Newark</v>
      </c>
    </row>
    <row r="20">
      <c r="A20" s="2" t="str">
        <f>IFERROR(__xludf.DUMMYFUNCTION("""COMPUTED_VALUE"""),"CS351")</f>
        <v>CS351</v>
      </c>
      <c r="B20" s="2" t="str">
        <f>IFERROR(__xludf.DUMMYFUNCTION("""COMPUTED_VALUE"""),"Berenjian, Samaneh")</f>
        <v>Berenjian, Samaneh</v>
      </c>
      <c r="C20" s="2">
        <f>IFERROR(__xludf.DUMMYFUNCTION("""COMPUTED_VALUE"""),60.0)</f>
        <v>60</v>
      </c>
      <c r="D20" s="2">
        <f>IFERROR(__xludf.DUMMYFUNCTION("""COMPUTED_VALUE"""),1.0)</f>
        <v>1</v>
      </c>
      <c r="E20" s="2">
        <f>IFERROR(__xludf.DUMMYFUNCTION("""COMPUTED_VALUE"""),60.0)</f>
        <v>60</v>
      </c>
      <c r="F20" s="2" t="str">
        <f>IFERROR(__xludf.DUMMYFUNCTION("""COMPUTED_VALUE"""),"Newark")</f>
        <v>Newark</v>
      </c>
    </row>
    <row r="21">
      <c r="A21" s="2" t="str">
        <f>IFERROR(__xludf.DUMMYFUNCTION("""COMPUTED_VALUE"""),"CS356")</f>
        <v>CS356</v>
      </c>
      <c r="B21" s="2" t="str">
        <f>IFERROR(__xludf.DUMMYFUNCTION("""COMPUTED_VALUE"""),"Mani, Kumar")</f>
        <v>Mani, Kumar</v>
      </c>
      <c r="C21" s="2">
        <f>IFERROR(__xludf.DUMMYFUNCTION("""COMPUTED_VALUE"""),80.0)</f>
        <v>80</v>
      </c>
      <c r="D21" s="2">
        <f>IFERROR(__xludf.DUMMYFUNCTION("""COMPUTED_VALUE"""),2.0)</f>
        <v>2</v>
      </c>
      <c r="E21" s="2">
        <f>IFERROR(__xludf.DUMMYFUNCTION("""COMPUTED_VALUE"""),160.0)</f>
        <v>160</v>
      </c>
      <c r="F21" s="2" t="str">
        <f>IFERROR(__xludf.DUMMYFUNCTION("""COMPUTED_VALUE"""),"Newark")</f>
        <v>Newark</v>
      </c>
    </row>
    <row r="22">
      <c r="A22" s="2" t="str">
        <f>IFERROR(__xludf.DUMMYFUNCTION("""COMPUTED_VALUE"""),"CS356")</f>
        <v>CS356</v>
      </c>
      <c r="B22" s="2" t="str">
        <f>IFERROR(__xludf.DUMMYFUNCTION("""COMPUTED_VALUE"""),"Raza, Asad")</f>
        <v>Raza, Asad</v>
      </c>
      <c r="C22" s="2">
        <f>IFERROR(__xludf.DUMMYFUNCTION("""COMPUTED_VALUE"""),80.0)</f>
        <v>80</v>
      </c>
      <c r="D22" s="2">
        <f>IFERROR(__xludf.DUMMYFUNCTION("""COMPUTED_VALUE"""),1.0)</f>
        <v>1</v>
      </c>
      <c r="E22" s="2">
        <f>IFERROR(__xludf.DUMMYFUNCTION("""COMPUTED_VALUE"""),80.0)</f>
        <v>80</v>
      </c>
      <c r="F22" s="2" t="str">
        <f>IFERROR(__xludf.DUMMYFUNCTION("""COMPUTED_VALUE"""),"Newark")</f>
        <v>Newark</v>
      </c>
    </row>
    <row r="23">
      <c r="A23" s="2" t="str">
        <f>IFERROR(__xludf.DUMMYFUNCTION("""COMPUTED_VALUE"""),"CS370")</f>
        <v>CS370</v>
      </c>
      <c r="B23" s="2" t="str">
        <f>IFERROR(__xludf.DUMMYFUNCTION("""COMPUTED_VALUE"""),"Monogioudis, Pantelis")</f>
        <v>Monogioudis, Pantelis</v>
      </c>
      <c r="C23" s="2">
        <f>IFERROR(__xludf.DUMMYFUNCTION("""COMPUTED_VALUE"""),40.0)</f>
        <v>40</v>
      </c>
      <c r="D23" s="2">
        <f>IFERROR(__xludf.DUMMYFUNCTION("""COMPUTED_VALUE"""),1.0)</f>
        <v>1</v>
      </c>
      <c r="E23" s="2">
        <f>IFERROR(__xludf.DUMMYFUNCTION("""COMPUTED_VALUE"""),40.0)</f>
        <v>40</v>
      </c>
      <c r="F23" s="2" t="str">
        <f>IFERROR(__xludf.DUMMYFUNCTION("""COMPUTED_VALUE"""),"Newark")</f>
        <v>Newark</v>
      </c>
    </row>
    <row r="24">
      <c r="A24" s="2" t="str">
        <f>IFERROR(__xludf.DUMMYFUNCTION("""COMPUTED_VALUE"""),"CS375")</f>
        <v>CS375</v>
      </c>
      <c r="B24" s="2" t="str">
        <f>IFERROR(__xludf.DUMMYFUNCTION("""COMPUTED_VALUE"""),"Bakhshaliyev, Khalid")</f>
        <v>Bakhshaliyev, Khalid</v>
      </c>
      <c r="C24" s="2">
        <f>IFERROR(__xludf.DUMMYFUNCTION("""COMPUTED_VALUE"""),40.0)</f>
        <v>40</v>
      </c>
      <c r="D24" s="2">
        <f>IFERROR(__xludf.DUMMYFUNCTION("""COMPUTED_VALUE"""),2.0)</f>
        <v>2</v>
      </c>
      <c r="E24" s="2">
        <f>IFERROR(__xludf.DUMMYFUNCTION("""COMPUTED_VALUE"""),80.0)</f>
        <v>80</v>
      </c>
      <c r="F24" s="2" t="str">
        <f>IFERROR(__xludf.DUMMYFUNCTION("""COMPUTED_VALUE"""),"Newark")</f>
        <v>Newark</v>
      </c>
    </row>
    <row r="25">
      <c r="A25" s="2" t="str">
        <f>IFERROR(__xludf.DUMMYFUNCTION("""COMPUTED_VALUE"""),"CS388")</f>
        <v>CS388</v>
      </c>
      <c r="B25" s="2" t="str">
        <f>IFERROR(__xludf.DUMMYFUNCTION("""COMPUTED_VALUE"""),"Toeggel, Matt")</f>
        <v>Toeggel, Matt</v>
      </c>
      <c r="C25" s="2">
        <f>IFERROR(__xludf.DUMMYFUNCTION("""COMPUTED_VALUE"""),80.0)</f>
        <v>80</v>
      </c>
      <c r="D25" s="2">
        <f>IFERROR(__xludf.DUMMYFUNCTION("""COMPUTED_VALUE"""),1.0)</f>
        <v>1</v>
      </c>
      <c r="E25" s="2">
        <f>IFERROR(__xludf.DUMMYFUNCTION("""COMPUTED_VALUE"""),80.0)</f>
        <v>80</v>
      </c>
      <c r="F25" s="2" t="str">
        <f>IFERROR(__xludf.DUMMYFUNCTION("""COMPUTED_VALUE"""),"Newark")</f>
        <v>Newark</v>
      </c>
    </row>
    <row r="26">
      <c r="A26" s="2" t="str">
        <f>IFERROR(__xludf.DUMMYFUNCTION("""COMPUTED_VALUE"""),"CS408")</f>
        <v>CS408</v>
      </c>
      <c r="B26" s="2" t="str">
        <f>IFERROR(__xludf.DUMMYFUNCTION("""COMPUTED_VALUE"""),"Hamidli, Fuad")</f>
        <v>Hamidli, Fuad</v>
      </c>
      <c r="C26" s="2">
        <f>IFERROR(__xludf.DUMMYFUNCTION("""COMPUTED_VALUE"""),40.0)</f>
        <v>40</v>
      </c>
      <c r="D26" s="2">
        <f>IFERROR(__xludf.DUMMYFUNCTION("""COMPUTED_VALUE"""),1.0)</f>
        <v>1</v>
      </c>
      <c r="E26" s="2">
        <f>IFERROR(__xludf.DUMMYFUNCTION("""COMPUTED_VALUE"""),40.0)</f>
        <v>40</v>
      </c>
      <c r="F26" s="2" t="str">
        <f>IFERROR(__xludf.DUMMYFUNCTION("""COMPUTED_VALUE"""),"Newark")</f>
        <v>Newark</v>
      </c>
    </row>
    <row r="27">
      <c r="A27" s="2" t="str">
        <f>IFERROR(__xludf.DUMMYFUNCTION("""COMPUTED_VALUE"""),"CS434")</f>
        <v>CS434</v>
      </c>
      <c r="B27" s="2" t="str">
        <f>IFERROR(__xludf.DUMMYFUNCTION("""COMPUTED_VALUE"""),"Eren, Canan")</f>
        <v>Eren, Canan</v>
      </c>
      <c r="C27" s="2">
        <f>IFERROR(__xludf.DUMMYFUNCTION("""COMPUTED_VALUE"""),40.0)</f>
        <v>40</v>
      </c>
      <c r="D27" s="2">
        <f>IFERROR(__xludf.DUMMYFUNCTION("""COMPUTED_VALUE"""),1.0)</f>
        <v>1</v>
      </c>
      <c r="E27" s="2">
        <f>IFERROR(__xludf.DUMMYFUNCTION("""COMPUTED_VALUE"""),40.0)</f>
        <v>40</v>
      </c>
      <c r="F27" s="2" t="str">
        <f>IFERROR(__xludf.DUMMYFUNCTION("""COMPUTED_VALUE"""),"Newark")</f>
        <v>Newark</v>
      </c>
    </row>
    <row r="28">
      <c r="A28" s="2" t="str">
        <f>IFERROR(__xludf.DUMMYFUNCTION("""COMPUTED_VALUE"""),"CS435")</f>
        <v>CS435</v>
      </c>
      <c r="B28" s="2" t="str">
        <f>IFERROR(__xludf.DUMMYFUNCTION("""COMPUTED_VALUE"""),"Nassimi, David")</f>
        <v>Nassimi, David</v>
      </c>
      <c r="C28" s="2">
        <f>IFERROR(__xludf.DUMMYFUNCTION("""COMPUTED_VALUE"""),40.0)</f>
        <v>40</v>
      </c>
      <c r="D28" s="2">
        <f>IFERROR(__xludf.DUMMYFUNCTION("""COMPUTED_VALUE"""),2.0)</f>
        <v>2</v>
      </c>
      <c r="E28" s="2">
        <f>IFERROR(__xludf.DUMMYFUNCTION("""COMPUTED_VALUE"""),80.0)</f>
        <v>80</v>
      </c>
      <c r="F28" s="2" t="str">
        <f>IFERROR(__xludf.DUMMYFUNCTION("""COMPUTED_VALUE"""),"Newark")</f>
        <v>Newark</v>
      </c>
    </row>
    <row r="29">
      <c r="A29" s="2" t="str">
        <f>IFERROR(__xludf.DUMMYFUNCTION("""COMPUTED_VALUE"""),"CS435")</f>
        <v>CS435</v>
      </c>
      <c r="B29" s="2" t="str">
        <f>IFERROR(__xludf.DUMMYFUNCTION("""COMPUTED_VALUE"""),"Eskandari, Marzieh")</f>
        <v>Eskandari, Marzieh</v>
      </c>
      <c r="C29" s="2">
        <f>IFERROR(__xludf.DUMMYFUNCTION("""COMPUTED_VALUE"""),40.0)</f>
        <v>40</v>
      </c>
      <c r="D29" s="2">
        <f>IFERROR(__xludf.DUMMYFUNCTION("""COMPUTED_VALUE"""),2.0)</f>
        <v>2</v>
      </c>
      <c r="E29" s="2">
        <f>IFERROR(__xludf.DUMMYFUNCTION("""COMPUTED_VALUE"""),80.0)</f>
        <v>80</v>
      </c>
      <c r="F29" s="2" t="str">
        <f>IFERROR(__xludf.DUMMYFUNCTION("""COMPUTED_VALUE"""),"Newark")</f>
        <v>Newark</v>
      </c>
    </row>
    <row r="30">
      <c r="A30" s="2" t="str">
        <f>IFERROR(__xludf.DUMMYFUNCTION("""COMPUTED_VALUE"""),"CS444")</f>
        <v>CS444</v>
      </c>
      <c r="B30" s="2" t="str">
        <f>IFERROR(__xludf.DUMMYFUNCTION("""COMPUTED_VALUE"""),"Zhang, Yijie")</f>
        <v>Zhang, Yijie</v>
      </c>
      <c r="C30" s="2">
        <f>IFERROR(__xludf.DUMMYFUNCTION("""COMPUTED_VALUE"""),30.0)</f>
        <v>30</v>
      </c>
      <c r="D30" s="2">
        <f>IFERROR(__xludf.DUMMYFUNCTION("""COMPUTED_VALUE"""),1.0)</f>
        <v>1</v>
      </c>
      <c r="E30" s="2">
        <f>IFERROR(__xludf.DUMMYFUNCTION("""COMPUTED_VALUE"""),30.0)</f>
        <v>30</v>
      </c>
      <c r="F30" s="2" t="str">
        <f>IFERROR(__xludf.DUMMYFUNCTION("""COMPUTED_VALUE"""),"Newark")</f>
        <v>Newark</v>
      </c>
    </row>
    <row r="31">
      <c r="A31" s="2" t="str">
        <f>IFERROR(__xludf.DUMMYFUNCTION("""COMPUTED_VALUE"""),"CS450")</f>
        <v>CS450</v>
      </c>
      <c r="B31" s="2" t="str">
        <f>IFERROR(__xludf.DUMMYFUNCTION("""COMPUTED_VALUE"""),"Islam, Akm")</f>
        <v>Islam, Akm</v>
      </c>
      <c r="C31" s="2">
        <f>IFERROR(__xludf.DUMMYFUNCTION("""COMPUTED_VALUE"""),30.0)</f>
        <v>30</v>
      </c>
      <c r="D31" s="2">
        <f>IFERROR(__xludf.DUMMYFUNCTION("""COMPUTED_VALUE"""),1.0)</f>
        <v>1</v>
      </c>
      <c r="E31" s="2">
        <f>IFERROR(__xludf.DUMMYFUNCTION("""COMPUTED_VALUE"""),30.0)</f>
        <v>30</v>
      </c>
      <c r="F31" s="2" t="str">
        <f>IFERROR(__xludf.DUMMYFUNCTION("""COMPUTED_VALUE"""),"Newark")</f>
        <v>Newark</v>
      </c>
    </row>
    <row r="32">
      <c r="A32" s="2" t="str">
        <f>IFERROR(__xludf.DUMMYFUNCTION("""COMPUTED_VALUE"""),"CS450")</f>
        <v>CS450</v>
      </c>
      <c r="B32" s="2" t="str">
        <f>IFERROR(__xludf.DUMMYFUNCTION("""COMPUTED_VALUE"""),"Kaustubh, Pethkar")</f>
        <v>Kaustubh, Pethkar</v>
      </c>
      <c r="C32" s="2">
        <f>IFERROR(__xludf.DUMMYFUNCTION("""COMPUTED_VALUE"""),30.0)</f>
        <v>30</v>
      </c>
      <c r="D32" s="2">
        <f>IFERROR(__xludf.DUMMYFUNCTION("""COMPUTED_VALUE"""),1.0)</f>
        <v>1</v>
      </c>
      <c r="E32" s="2">
        <f>IFERROR(__xludf.DUMMYFUNCTION("""COMPUTED_VALUE"""),30.0)</f>
        <v>30</v>
      </c>
      <c r="F32" s="2" t="str">
        <f>IFERROR(__xludf.DUMMYFUNCTION("""COMPUTED_VALUE"""),"Newark")</f>
        <v>Newark</v>
      </c>
    </row>
    <row r="33">
      <c r="A33" s="2" t="str">
        <f>IFERROR(__xludf.DUMMYFUNCTION("""COMPUTED_VALUE"""),"CS482")</f>
        <v>CS482</v>
      </c>
      <c r="B33" s="2" t="str">
        <f>IFERROR(__xludf.DUMMYFUNCTION("""COMPUTED_VALUE"""),"Bakhshaliyev, Khalid")</f>
        <v>Bakhshaliyev, Khalid</v>
      </c>
      <c r="C33" s="2">
        <f>IFERROR(__xludf.DUMMYFUNCTION("""COMPUTED_VALUE"""),43.0)</f>
        <v>43</v>
      </c>
      <c r="D33" s="2">
        <f>IFERROR(__xludf.DUMMYFUNCTION("""COMPUTED_VALUE"""),1.0)</f>
        <v>1</v>
      </c>
      <c r="E33" s="2">
        <f>IFERROR(__xludf.DUMMYFUNCTION("""COMPUTED_VALUE"""),43.0)</f>
        <v>43</v>
      </c>
      <c r="F33" s="2" t="str">
        <f>IFERROR(__xludf.DUMMYFUNCTION("""COMPUTED_VALUE"""),"Newark")</f>
        <v>Newark</v>
      </c>
    </row>
    <row r="34">
      <c r="A34" s="2" t="str">
        <f>IFERROR(__xludf.DUMMYFUNCTION("""COMPUTED_VALUE"""),"CS485")</f>
        <v>CS485</v>
      </c>
      <c r="B34" s="2" t="str">
        <f>IFERROR(__xludf.DUMMYFUNCTION("""COMPUTED_VALUE"""),"Sohn, Andrew")</f>
        <v>Sohn, Andrew</v>
      </c>
      <c r="C34" s="2">
        <f>IFERROR(__xludf.DUMMYFUNCTION("""COMPUTED_VALUE"""),30.0)</f>
        <v>30</v>
      </c>
      <c r="D34" s="2">
        <f>IFERROR(__xludf.DUMMYFUNCTION("""COMPUTED_VALUE"""),1.0)</f>
        <v>1</v>
      </c>
      <c r="E34" s="2">
        <f>IFERROR(__xludf.DUMMYFUNCTION("""COMPUTED_VALUE"""),30.0)</f>
        <v>30</v>
      </c>
      <c r="F34" s="2" t="str">
        <f>IFERROR(__xludf.DUMMYFUNCTION("""COMPUTED_VALUE"""),"Newark")</f>
        <v>Newark</v>
      </c>
    </row>
    <row r="35">
      <c r="A35" s="2" t="str">
        <f>IFERROR(__xludf.DUMMYFUNCTION("""COMPUTED_VALUE"""),"CS485")</f>
        <v>CS485</v>
      </c>
      <c r="B35" s="2" t="str">
        <f>IFERROR(__xludf.DUMMYFUNCTION("""COMPUTED_VALUE"""),"Neamtiu, Iulian")</f>
        <v>Neamtiu, Iulian</v>
      </c>
      <c r="C35" s="2">
        <f>IFERROR(__xludf.DUMMYFUNCTION("""COMPUTED_VALUE"""),40.0)</f>
        <v>40</v>
      </c>
      <c r="D35" s="2">
        <f>IFERROR(__xludf.DUMMYFUNCTION("""COMPUTED_VALUE"""),1.0)</f>
        <v>1</v>
      </c>
      <c r="E35" s="2">
        <f>IFERROR(__xludf.DUMMYFUNCTION("""COMPUTED_VALUE"""),40.0)</f>
        <v>40</v>
      </c>
      <c r="F35" s="2" t="str">
        <f>IFERROR(__xludf.DUMMYFUNCTION("""COMPUTED_VALUE"""),"Newark")</f>
        <v>Newark</v>
      </c>
    </row>
    <row r="36">
      <c r="A36" s="2" t="str">
        <f>IFERROR(__xludf.DUMMYFUNCTION("""COMPUTED_VALUE"""),"CS485")</f>
        <v>CS485</v>
      </c>
      <c r="B36" s="2" t="str">
        <f>IFERROR(__xludf.DUMMYFUNCTION("""COMPUTED_VALUE"""),"Nahata, Hansraj")</f>
        <v>Nahata, Hansraj</v>
      </c>
      <c r="C36" s="2">
        <f>IFERROR(__xludf.DUMMYFUNCTION("""COMPUTED_VALUE"""),40.0)</f>
        <v>40</v>
      </c>
      <c r="D36" s="2">
        <f>IFERROR(__xludf.DUMMYFUNCTION("""COMPUTED_VALUE"""),1.0)</f>
        <v>1</v>
      </c>
      <c r="E36" s="2">
        <f>IFERROR(__xludf.DUMMYFUNCTION("""COMPUTED_VALUE"""),40.0)</f>
        <v>40</v>
      </c>
      <c r="F36" s="2" t="str">
        <f>IFERROR(__xludf.DUMMYFUNCTION("""COMPUTED_VALUE"""),"Newark")</f>
        <v>Newark</v>
      </c>
    </row>
    <row r="37">
      <c r="A37" s="2" t="str">
        <f>IFERROR(__xludf.DUMMYFUNCTION("""COMPUTED_VALUE"""),"CS490")</f>
        <v>CS490</v>
      </c>
      <c r="B37" s="2" t="str">
        <f>IFERROR(__xludf.DUMMYFUNCTION("""COMPUTED_VALUE"""),"Naik, Abhishek")</f>
        <v>Naik, Abhishek</v>
      </c>
      <c r="C37" s="2">
        <f>IFERROR(__xludf.DUMMYFUNCTION("""COMPUTED_VALUE"""),40.0)</f>
        <v>40</v>
      </c>
      <c r="D37" s="2">
        <f>IFERROR(__xludf.DUMMYFUNCTION("""COMPUTED_VALUE"""),1.0)</f>
        <v>1</v>
      </c>
      <c r="E37" s="2">
        <f>IFERROR(__xludf.DUMMYFUNCTION("""COMPUTED_VALUE"""),40.0)</f>
        <v>40</v>
      </c>
      <c r="F37" s="2" t="str">
        <f>IFERROR(__xludf.DUMMYFUNCTION("""COMPUTED_VALUE"""),"Newark")</f>
        <v>Newark</v>
      </c>
    </row>
    <row r="38">
      <c r="A38" s="2" t="str">
        <f>IFERROR(__xludf.DUMMYFUNCTION("""COMPUTED_VALUE"""),"CS490")</f>
        <v>CS490</v>
      </c>
      <c r="B38" s="2" t="str">
        <f>IFERROR(__xludf.DUMMYFUNCTION("""COMPUTED_VALUE"""),"Kellogg, Martin")</f>
        <v>Kellogg, Martin</v>
      </c>
      <c r="C38" s="2">
        <f>IFERROR(__xludf.DUMMYFUNCTION("""COMPUTED_VALUE"""),80.0)</f>
        <v>80</v>
      </c>
      <c r="D38" s="2">
        <f>IFERROR(__xludf.DUMMYFUNCTION("""COMPUTED_VALUE"""),1.0)</f>
        <v>1</v>
      </c>
      <c r="E38" s="2">
        <f>IFERROR(__xludf.DUMMYFUNCTION("""COMPUTED_VALUE"""),80.0)</f>
        <v>80</v>
      </c>
      <c r="F38" s="2" t="str">
        <f>IFERROR(__xludf.DUMMYFUNCTION("""COMPUTED_VALUE"""),"Newark")</f>
        <v>Newark</v>
      </c>
    </row>
    <row r="39">
      <c r="A39" s="2" t="str">
        <f>IFERROR(__xludf.DUMMYFUNCTION("""COMPUTED_VALUE"""),"CS490")</f>
        <v>CS490</v>
      </c>
      <c r="B39" s="2" t="str">
        <f>IFERROR(__xludf.DUMMYFUNCTION("""COMPUTED_VALUE"""),"Naik, Abhishek")</f>
        <v>Naik, Abhishek</v>
      </c>
      <c r="C39" s="2">
        <f>IFERROR(__xludf.DUMMYFUNCTION("""COMPUTED_VALUE"""),40.0)</f>
        <v>40</v>
      </c>
      <c r="D39" s="2">
        <f>IFERROR(__xludf.DUMMYFUNCTION("""COMPUTED_VALUE"""),1.0)</f>
        <v>1</v>
      </c>
      <c r="E39" s="2">
        <f>IFERROR(__xludf.DUMMYFUNCTION("""COMPUTED_VALUE"""),40.0)</f>
        <v>40</v>
      </c>
      <c r="F39" s="2" t="str">
        <f>IFERROR(__xludf.DUMMYFUNCTION("""COMPUTED_VALUE"""),"Newark")</f>
        <v>Newark</v>
      </c>
    </row>
    <row r="40">
      <c r="A40" s="2" t="str">
        <f>IFERROR(__xludf.DUMMYFUNCTION("""COMPUTED_VALUE"""),"CS492")</f>
        <v>CS492</v>
      </c>
      <c r="B40" s="2" t="str">
        <f>IFERROR(__xludf.DUMMYFUNCTION("""COMPUTED_VALUE"""),"Wu, Chase")</f>
        <v>Wu, Chase</v>
      </c>
      <c r="C40" s="2">
        <f>IFERROR(__xludf.DUMMYFUNCTION("""COMPUTED_VALUE"""),21.0)</f>
        <v>21</v>
      </c>
      <c r="D40" s="2">
        <f>IFERROR(__xludf.DUMMYFUNCTION("""COMPUTED_VALUE"""),1.0)</f>
        <v>1</v>
      </c>
      <c r="E40" s="2">
        <f>IFERROR(__xludf.DUMMYFUNCTION("""COMPUTED_VALUE"""),21.0)</f>
        <v>21</v>
      </c>
      <c r="F40" s="2" t="str">
        <f>IFERROR(__xludf.DUMMYFUNCTION("""COMPUTED_VALUE"""),"Newark")</f>
        <v>Newark</v>
      </c>
    </row>
    <row r="41">
      <c r="A41" s="2" t="str">
        <f>IFERROR(__xludf.DUMMYFUNCTION("""COMPUTED_VALUE"""),"CS493")</f>
        <v>CS493</v>
      </c>
      <c r="B41" s="2" t="str">
        <f>IFERROR(__xludf.DUMMYFUNCTION("""COMPUTED_VALUE"""),"Wu, Chase")</f>
        <v>Wu, Chase</v>
      </c>
      <c r="C41" s="2">
        <f>IFERROR(__xludf.DUMMYFUNCTION("""COMPUTED_VALUE"""),21.0)</f>
        <v>21</v>
      </c>
      <c r="D41" s="2">
        <f>IFERROR(__xludf.DUMMYFUNCTION("""COMPUTED_VALUE"""),1.0)</f>
        <v>1</v>
      </c>
      <c r="E41" s="2">
        <f>IFERROR(__xludf.DUMMYFUNCTION("""COMPUTED_VALUE"""),0.0)</f>
        <v>0</v>
      </c>
      <c r="F41" s="2" t="str">
        <f>IFERROR(__xludf.DUMMYFUNCTION("""COMPUTED_VALUE"""),"Newark")</f>
        <v>Newark</v>
      </c>
    </row>
    <row r="42">
      <c r="A42" s="2" t="str">
        <f>IFERROR(__xludf.DUMMYFUNCTION("""COMPUTED_VALUE"""),"CS602")</f>
        <v>CS602</v>
      </c>
      <c r="B42" s="2" t="str">
        <f>IFERROR(__xludf.DUMMYFUNCTION("""COMPUTED_VALUE"""),"Raihan, Siddique")</f>
        <v>Raihan, Siddique</v>
      </c>
      <c r="C42" s="2">
        <f>IFERROR(__xludf.DUMMYFUNCTION("""COMPUTED_VALUE"""),40.0)</f>
        <v>40</v>
      </c>
      <c r="D42" s="2">
        <f>IFERROR(__xludf.DUMMYFUNCTION("""COMPUTED_VALUE"""),1.0)</f>
        <v>1</v>
      </c>
      <c r="E42" s="2">
        <f>IFERROR(__xludf.DUMMYFUNCTION("""COMPUTED_VALUE"""),40.0)</f>
        <v>40</v>
      </c>
      <c r="F42" s="2" t="str">
        <f>IFERROR(__xludf.DUMMYFUNCTION("""COMPUTED_VALUE"""),"Newark")</f>
        <v>Newark</v>
      </c>
    </row>
    <row r="43">
      <c r="A43" s="2" t="str">
        <f>IFERROR(__xludf.DUMMYFUNCTION("""COMPUTED_VALUE"""),"CS608")</f>
        <v>CS608</v>
      </c>
      <c r="B43" s="2" t="str">
        <f>IFERROR(__xludf.DUMMYFUNCTION("""COMPUTED_VALUE"""),"Hamidli, Fuad")</f>
        <v>Hamidli, Fuad</v>
      </c>
      <c r="C43" s="2">
        <f>IFERROR(__xludf.DUMMYFUNCTION("""COMPUTED_VALUE"""),40.0)</f>
        <v>40</v>
      </c>
      <c r="D43" s="2">
        <f>IFERROR(__xludf.DUMMYFUNCTION("""COMPUTED_VALUE"""),1.0)</f>
        <v>1</v>
      </c>
      <c r="E43" s="2">
        <f>IFERROR(__xludf.DUMMYFUNCTION("""COMPUTED_VALUE"""),40.0)</f>
        <v>40</v>
      </c>
      <c r="F43" s="2" t="str">
        <f>IFERROR(__xludf.DUMMYFUNCTION("""COMPUTED_VALUE"""),"Newark")</f>
        <v>Newark</v>
      </c>
    </row>
    <row r="44">
      <c r="A44" s="2" t="str">
        <f>IFERROR(__xludf.DUMMYFUNCTION("""COMPUTED_VALUE"""),"CS610")</f>
        <v>CS610</v>
      </c>
      <c r="B44" s="2" t="str">
        <f>IFERROR(__xludf.DUMMYFUNCTION("""COMPUTED_VALUE"""),"Gerbessiotis, Alexandros")</f>
        <v>Gerbessiotis, Alexandros</v>
      </c>
      <c r="C44" s="2">
        <f>IFERROR(__xludf.DUMMYFUNCTION("""COMPUTED_VALUE"""),30.0)</f>
        <v>30</v>
      </c>
      <c r="D44" s="2">
        <f>IFERROR(__xludf.DUMMYFUNCTION("""COMPUTED_VALUE"""),1.0)</f>
        <v>1</v>
      </c>
      <c r="E44" s="2">
        <f>IFERROR(__xludf.DUMMYFUNCTION("""COMPUTED_VALUE"""),30.0)</f>
        <v>30</v>
      </c>
      <c r="F44" s="2" t="str">
        <f>IFERROR(__xludf.DUMMYFUNCTION("""COMPUTED_VALUE"""),"Newark")</f>
        <v>Newark</v>
      </c>
    </row>
    <row r="45">
      <c r="A45" s="2" t="str">
        <f>IFERROR(__xludf.DUMMYFUNCTION("""COMPUTED_VALUE"""),"CS630")</f>
        <v>CS630</v>
      </c>
      <c r="B45" s="2" t="str">
        <f>IFERROR(__xludf.DUMMYFUNCTION("""COMPUTED_VALUE"""),"Lay, Larry")</f>
        <v>Lay, Larry</v>
      </c>
      <c r="C45" s="2">
        <f>IFERROR(__xludf.DUMMYFUNCTION("""COMPUTED_VALUE"""),40.0)</f>
        <v>40</v>
      </c>
      <c r="D45" s="2">
        <f>IFERROR(__xludf.DUMMYFUNCTION("""COMPUTED_VALUE"""),1.0)</f>
        <v>1</v>
      </c>
      <c r="E45" s="2">
        <f>IFERROR(__xludf.DUMMYFUNCTION("""COMPUTED_VALUE"""),40.0)</f>
        <v>40</v>
      </c>
      <c r="F45" s="2" t="str">
        <f>IFERROR(__xludf.DUMMYFUNCTION("""COMPUTED_VALUE"""),"Newark")</f>
        <v>Newark</v>
      </c>
    </row>
    <row r="46">
      <c r="A46" s="2" t="str">
        <f>IFERROR(__xludf.DUMMYFUNCTION("""COMPUTED_VALUE"""),"CS631")</f>
        <v>CS631</v>
      </c>
      <c r="B46" s="2" t="str">
        <f>IFERROR(__xludf.DUMMYFUNCTION("""COMPUTED_VALUE"""),"Theodoratos, Dimitrios")</f>
        <v>Theodoratos, Dimitrios</v>
      </c>
      <c r="C46" s="2">
        <f>IFERROR(__xludf.DUMMYFUNCTION("""COMPUTED_VALUE"""),40.0)</f>
        <v>40</v>
      </c>
      <c r="D46" s="2">
        <f>IFERROR(__xludf.DUMMYFUNCTION("""COMPUTED_VALUE"""),2.0)</f>
        <v>2</v>
      </c>
      <c r="E46" s="2">
        <f>IFERROR(__xludf.DUMMYFUNCTION("""COMPUTED_VALUE"""),80.0)</f>
        <v>80</v>
      </c>
      <c r="F46" s="2" t="str">
        <f>IFERROR(__xludf.DUMMYFUNCTION("""COMPUTED_VALUE"""),"Newark")</f>
        <v>Newark</v>
      </c>
    </row>
    <row r="47">
      <c r="A47" s="2" t="str">
        <f>IFERROR(__xludf.DUMMYFUNCTION("""COMPUTED_VALUE"""),"CS632")</f>
        <v>CS632</v>
      </c>
      <c r="B47" s="2" t="str">
        <f>IFERROR(__xludf.DUMMYFUNCTION("""COMPUTED_VALUE"""),"Eren, Canan")</f>
        <v>Eren, Canan</v>
      </c>
      <c r="C47" s="2">
        <f>IFERROR(__xludf.DUMMYFUNCTION("""COMPUTED_VALUE"""),40.0)</f>
        <v>40</v>
      </c>
      <c r="D47" s="2">
        <f>IFERROR(__xludf.DUMMYFUNCTION("""COMPUTED_VALUE"""),1.0)</f>
        <v>1</v>
      </c>
      <c r="E47" s="2">
        <f>IFERROR(__xludf.DUMMYFUNCTION("""COMPUTED_VALUE"""),40.0)</f>
        <v>40</v>
      </c>
      <c r="F47" s="2" t="str">
        <f>IFERROR(__xludf.DUMMYFUNCTION("""COMPUTED_VALUE"""),"Newark")</f>
        <v>Newark</v>
      </c>
    </row>
    <row r="48">
      <c r="A48" s="2" t="str">
        <f>IFERROR(__xludf.DUMMYFUNCTION("""COMPUTED_VALUE"""),"CS634")</f>
        <v>CS634</v>
      </c>
      <c r="B48" s="2" t="str">
        <f>IFERROR(__xludf.DUMMYFUNCTION("""COMPUTED_VALUE"""),"Abduallah, Yasser")</f>
        <v>Abduallah, Yasser</v>
      </c>
      <c r="C48" s="2">
        <f>IFERROR(__xludf.DUMMYFUNCTION("""COMPUTED_VALUE"""),40.0)</f>
        <v>40</v>
      </c>
      <c r="D48" s="2">
        <f>IFERROR(__xludf.DUMMYFUNCTION("""COMPUTED_VALUE"""),1.0)</f>
        <v>1</v>
      </c>
      <c r="E48" s="2">
        <f>IFERROR(__xludf.DUMMYFUNCTION("""COMPUTED_VALUE"""),40.0)</f>
        <v>40</v>
      </c>
      <c r="F48" s="2" t="str">
        <f>IFERROR(__xludf.DUMMYFUNCTION("""COMPUTED_VALUE"""),"Newark")</f>
        <v>Newark</v>
      </c>
    </row>
    <row r="49">
      <c r="A49" s="2" t="str">
        <f>IFERROR(__xludf.DUMMYFUNCTION("""COMPUTED_VALUE"""),"CS635")</f>
        <v>CS635</v>
      </c>
      <c r="B49" s="2" t="str">
        <f>IFERROR(__xludf.DUMMYFUNCTION("""COMPUTED_VALUE"""),"Ionescu, Adrian")</f>
        <v>Ionescu, Adrian</v>
      </c>
      <c r="C49" s="2">
        <f>IFERROR(__xludf.DUMMYFUNCTION("""COMPUTED_VALUE"""),30.0)</f>
        <v>30</v>
      </c>
      <c r="D49" s="2">
        <f>IFERROR(__xludf.DUMMYFUNCTION("""COMPUTED_VALUE"""),1.0)</f>
        <v>1</v>
      </c>
      <c r="E49" s="2">
        <f>IFERROR(__xludf.DUMMYFUNCTION("""COMPUTED_VALUE"""),30.0)</f>
        <v>30</v>
      </c>
      <c r="F49" s="2" t="str">
        <f>IFERROR(__xludf.DUMMYFUNCTION("""COMPUTED_VALUE"""),"Newark")</f>
        <v>Newark</v>
      </c>
    </row>
    <row r="50">
      <c r="A50" s="2" t="str">
        <f>IFERROR(__xludf.DUMMYFUNCTION("""COMPUTED_VALUE"""),"CS645")</f>
        <v>CS645</v>
      </c>
      <c r="B50" s="2" t="str">
        <f>IFERROR(__xludf.DUMMYFUNCTION("""COMPUTED_VALUE"""),"Shi, Cong")</f>
        <v>Shi, Cong</v>
      </c>
      <c r="C50" s="2">
        <f>IFERROR(__xludf.DUMMYFUNCTION("""COMPUTED_VALUE"""),40.0)</f>
        <v>40</v>
      </c>
      <c r="D50" s="2">
        <f>IFERROR(__xludf.DUMMYFUNCTION("""COMPUTED_VALUE"""),1.0)</f>
        <v>1</v>
      </c>
      <c r="E50" s="2">
        <f>IFERROR(__xludf.DUMMYFUNCTION("""COMPUTED_VALUE"""),40.0)</f>
        <v>40</v>
      </c>
      <c r="F50" s="2" t="str">
        <f>IFERROR(__xludf.DUMMYFUNCTION("""COMPUTED_VALUE"""),"Newark")</f>
        <v>Newark</v>
      </c>
    </row>
    <row r="51">
      <c r="A51" s="2" t="str">
        <f>IFERROR(__xludf.DUMMYFUNCTION("""COMPUTED_VALUE"""),"CS656")</f>
        <v>CS656</v>
      </c>
      <c r="B51" s="2" t="str">
        <f>IFERROR(__xludf.DUMMYFUNCTION("""COMPUTED_VALUE"""),"Mani, Kumar")</f>
        <v>Mani, Kumar</v>
      </c>
      <c r="C51" s="2">
        <f>IFERROR(__xludf.DUMMYFUNCTION("""COMPUTED_VALUE"""),40.0)</f>
        <v>40</v>
      </c>
      <c r="D51" s="2">
        <f>IFERROR(__xludf.DUMMYFUNCTION("""COMPUTED_VALUE"""),1.0)</f>
        <v>1</v>
      </c>
      <c r="E51" s="2">
        <f>IFERROR(__xludf.DUMMYFUNCTION("""COMPUTED_VALUE"""),40.0)</f>
        <v>40</v>
      </c>
      <c r="F51" s="2" t="str">
        <f>IFERROR(__xludf.DUMMYFUNCTION("""COMPUTED_VALUE"""),"Newark")</f>
        <v>Newark</v>
      </c>
    </row>
    <row r="52">
      <c r="A52" s="2" t="str">
        <f>IFERROR(__xludf.DUMMYFUNCTION("""COMPUTED_VALUE"""),"CS667")</f>
        <v>CS667</v>
      </c>
      <c r="B52" s="2" t="str">
        <f>IFERROR(__xludf.DUMMYFUNCTION("""COMPUTED_VALUE"""),"Xu, Pan")</f>
        <v>Xu, Pan</v>
      </c>
      <c r="C52" s="2">
        <f>IFERROR(__xludf.DUMMYFUNCTION("""COMPUTED_VALUE"""),30.0)</f>
        <v>30</v>
      </c>
      <c r="D52" s="2">
        <f>IFERROR(__xludf.DUMMYFUNCTION("""COMPUTED_VALUE"""),1.0)</f>
        <v>1</v>
      </c>
      <c r="E52" s="2">
        <f>IFERROR(__xludf.DUMMYFUNCTION("""COMPUTED_VALUE"""),30.0)</f>
        <v>30</v>
      </c>
      <c r="F52" s="2" t="str">
        <f>IFERROR(__xludf.DUMMYFUNCTION("""COMPUTED_VALUE"""),"Newark")</f>
        <v>Newark</v>
      </c>
    </row>
    <row r="53">
      <c r="A53" s="2" t="str">
        <f>IFERROR(__xludf.DUMMYFUNCTION("""COMPUTED_VALUE"""),"CS670")</f>
        <v>CS670</v>
      </c>
      <c r="B53" s="2" t="str">
        <f>IFERROR(__xludf.DUMMYFUNCTION("""COMPUTED_VALUE"""),"Liu, Chengjun")</f>
        <v>Liu, Chengjun</v>
      </c>
      <c r="C53" s="2">
        <f>IFERROR(__xludf.DUMMYFUNCTION("""COMPUTED_VALUE"""),30.0)</f>
        <v>30</v>
      </c>
      <c r="D53" s="2">
        <f>IFERROR(__xludf.DUMMYFUNCTION("""COMPUTED_VALUE"""),1.0)</f>
        <v>1</v>
      </c>
      <c r="E53" s="2">
        <f>IFERROR(__xludf.DUMMYFUNCTION("""COMPUTED_VALUE"""),30.0)</f>
        <v>30</v>
      </c>
      <c r="F53" s="2" t="str">
        <f>IFERROR(__xludf.DUMMYFUNCTION("""COMPUTED_VALUE"""),"Newark")</f>
        <v>Newark</v>
      </c>
    </row>
    <row r="54">
      <c r="A54" s="2" t="str">
        <f>IFERROR(__xludf.DUMMYFUNCTION("""COMPUTED_VALUE"""),"CS673")</f>
        <v>CS673</v>
      </c>
      <c r="B54" s="2" t="str">
        <f>IFERROR(__xludf.DUMMYFUNCTION("""COMPUTED_VALUE"""),"Vaish, Prabhat")</f>
        <v>Vaish, Prabhat</v>
      </c>
      <c r="C54" s="2">
        <f>IFERROR(__xludf.DUMMYFUNCTION("""COMPUTED_VALUE"""),30.0)</f>
        <v>30</v>
      </c>
      <c r="D54" s="2">
        <f>IFERROR(__xludf.DUMMYFUNCTION("""COMPUTED_VALUE"""),1.0)</f>
        <v>1</v>
      </c>
      <c r="E54" s="2">
        <f>IFERROR(__xludf.DUMMYFUNCTION("""COMPUTED_VALUE"""),30.0)</f>
        <v>30</v>
      </c>
      <c r="F54" s="2" t="str">
        <f>IFERROR(__xludf.DUMMYFUNCTION("""COMPUTED_VALUE"""),"Newark")</f>
        <v>Newark</v>
      </c>
    </row>
    <row r="55">
      <c r="A55" s="2" t="str">
        <f>IFERROR(__xludf.DUMMYFUNCTION("""COMPUTED_VALUE"""),"DS675")</f>
        <v>DS675</v>
      </c>
      <c r="B55" s="2" t="str">
        <f>IFERROR(__xludf.DUMMYFUNCTION("""COMPUTED_VALUE"""),"Bakhshaliyev, Khalid")</f>
        <v>Bakhshaliyev, Khalid</v>
      </c>
      <c r="C55" s="2">
        <f>IFERROR(__xludf.DUMMYFUNCTION("""COMPUTED_VALUE"""),30.0)</f>
        <v>30</v>
      </c>
      <c r="D55" s="2">
        <f>IFERROR(__xludf.DUMMYFUNCTION("""COMPUTED_VALUE"""),1.0)</f>
        <v>1</v>
      </c>
      <c r="E55" s="2">
        <f>IFERROR(__xludf.DUMMYFUNCTION("""COMPUTED_VALUE"""),30.0)</f>
        <v>30</v>
      </c>
      <c r="F55" s="2" t="str">
        <f>IFERROR(__xludf.DUMMYFUNCTION("""COMPUTED_VALUE"""),"Newark")</f>
        <v>Newark</v>
      </c>
    </row>
    <row r="56">
      <c r="A56" s="2" t="str">
        <f>IFERROR(__xludf.DUMMYFUNCTION("""COMPUTED_VALUE"""),"CS683")</f>
        <v>CS683</v>
      </c>
      <c r="B56" s="2" t="str">
        <f>IFERROR(__xludf.DUMMYFUNCTION("""COMPUTED_VALUE"""),"Naik, Kamlesh")</f>
        <v>Naik, Kamlesh</v>
      </c>
      <c r="C56" s="2">
        <f>IFERROR(__xludf.DUMMYFUNCTION("""COMPUTED_VALUE"""),43.0)</f>
        <v>43</v>
      </c>
      <c r="D56" s="2">
        <f>IFERROR(__xludf.DUMMYFUNCTION("""COMPUTED_VALUE"""),1.0)</f>
        <v>1</v>
      </c>
      <c r="E56" s="2">
        <f>IFERROR(__xludf.DUMMYFUNCTION("""COMPUTED_VALUE"""),43.0)</f>
        <v>43</v>
      </c>
      <c r="F56" s="2" t="str">
        <f>IFERROR(__xludf.DUMMYFUNCTION("""COMPUTED_VALUE"""),"Newark")</f>
        <v>Newark</v>
      </c>
    </row>
    <row r="57">
      <c r="A57" s="2" t="str">
        <f>IFERROR(__xludf.DUMMYFUNCTION("""COMPUTED_VALUE"""),"CS684")</f>
        <v>CS684</v>
      </c>
      <c r="B57" s="2" t="str">
        <f>IFERROR(__xludf.DUMMYFUNCTION("""COMPUTED_VALUE"""),"Mili, Ali")</f>
        <v>Mili, Ali</v>
      </c>
      <c r="C57" s="2">
        <f>IFERROR(__xludf.DUMMYFUNCTION("""COMPUTED_VALUE"""),30.0)</f>
        <v>30</v>
      </c>
      <c r="D57" s="2">
        <f>IFERROR(__xludf.DUMMYFUNCTION("""COMPUTED_VALUE"""),1.0)</f>
        <v>1</v>
      </c>
      <c r="E57" s="2">
        <f>IFERROR(__xludf.DUMMYFUNCTION("""COMPUTED_VALUE"""),30.0)</f>
        <v>30</v>
      </c>
      <c r="F57" s="2" t="str">
        <f>IFERROR(__xludf.DUMMYFUNCTION("""COMPUTED_VALUE"""),"Newark")</f>
        <v>Newark</v>
      </c>
    </row>
    <row r="58">
      <c r="A58" s="2" t="str">
        <f>IFERROR(__xludf.DUMMYFUNCTION("""COMPUTED_VALUE"""),"CS732")</f>
        <v>CS732</v>
      </c>
      <c r="B58" s="2" t="str">
        <f>IFERROR(__xludf.DUMMYFUNCTION("""COMPUTED_VALUE"""),"Houle, Michael")</f>
        <v>Houle, Michael</v>
      </c>
      <c r="C58" s="2">
        <f>IFERROR(__xludf.DUMMYFUNCTION("""COMPUTED_VALUE"""),30.0)</f>
        <v>30</v>
      </c>
      <c r="D58" s="2">
        <f>IFERROR(__xludf.DUMMYFUNCTION("""COMPUTED_VALUE"""),1.0)</f>
        <v>1</v>
      </c>
      <c r="E58" s="2">
        <f>IFERROR(__xludf.DUMMYFUNCTION("""COMPUTED_VALUE"""),30.0)</f>
        <v>30</v>
      </c>
      <c r="F58" s="2" t="str">
        <f>IFERROR(__xludf.DUMMYFUNCTION("""COMPUTED_VALUE"""),"Newark")</f>
        <v>Newark</v>
      </c>
    </row>
    <row r="59">
      <c r="A59" s="2" t="str">
        <f>IFERROR(__xludf.DUMMYFUNCTION("""COMPUTED_VALUE"""),"CS785")</f>
        <v>CS785</v>
      </c>
      <c r="B59" s="2" t="str">
        <f>IFERROR(__xludf.DUMMYFUNCTION("""COMPUTED_VALUE"""),"Basu Roy, Senjuti")</f>
        <v>Basu Roy, Senjuti</v>
      </c>
      <c r="C59" s="2">
        <f>IFERROR(__xludf.DUMMYFUNCTION("""COMPUTED_VALUE"""),30.0)</f>
        <v>30</v>
      </c>
      <c r="D59" s="2">
        <f>IFERROR(__xludf.DUMMYFUNCTION("""COMPUTED_VALUE"""),1.0)</f>
        <v>1</v>
      </c>
      <c r="E59" s="2">
        <f>IFERROR(__xludf.DUMMYFUNCTION("""COMPUTED_VALUE"""),30.0)</f>
        <v>30</v>
      </c>
      <c r="F59" s="2" t="str">
        <f>IFERROR(__xludf.DUMMYFUNCTION("""COMPUTED_VALUE"""),"Newark")</f>
        <v>Newark</v>
      </c>
    </row>
    <row r="60">
      <c r="A60" s="2" t="str">
        <f>IFERROR(__xludf.DUMMYFUNCTION("""COMPUTED_VALUE"""),"CS644")</f>
        <v>CS644</v>
      </c>
      <c r="B60" s="2" t="str">
        <f>IFERROR(__xludf.DUMMYFUNCTION("""COMPUTED_VALUE"""),"Li, Yajuan")</f>
        <v>Li, Yajuan</v>
      </c>
      <c r="C60" s="2">
        <f>IFERROR(__xludf.DUMMYFUNCTION("""COMPUTED_VALUE"""),40.0)</f>
        <v>40</v>
      </c>
      <c r="D60" s="2">
        <f>IFERROR(__xludf.DUMMYFUNCTION("""COMPUTED_VALUE"""),1.0)</f>
        <v>1</v>
      </c>
      <c r="E60" s="2">
        <f>IFERROR(__xludf.DUMMYFUNCTION("""COMPUTED_VALUE"""),40.0)</f>
        <v>40</v>
      </c>
      <c r="F60" s="2" t="str">
        <f>IFERROR(__xludf.DUMMYFUNCTION("""COMPUTED_VALUE"""),"Newark")</f>
        <v>Newark</v>
      </c>
    </row>
    <row r="61">
      <c r="A61" s="2" t="str">
        <f>IFERROR(__xludf.DUMMYFUNCTION("""COMPUTED_VALUE"""),"DS100")</f>
        <v>DS100</v>
      </c>
      <c r="B61" s="2" t="str">
        <f>IFERROR(__xludf.DUMMYFUNCTION("""COMPUTED_VALUE"""),"Kaur, Ravneet")</f>
        <v>Kaur, Ravneet</v>
      </c>
      <c r="C61" s="2">
        <f>IFERROR(__xludf.DUMMYFUNCTION("""COMPUTED_VALUE"""),30.0)</f>
        <v>30</v>
      </c>
      <c r="D61" s="2">
        <f>IFERROR(__xludf.DUMMYFUNCTION("""COMPUTED_VALUE"""),1.0)</f>
        <v>1</v>
      </c>
      <c r="E61" s="2">
        <f>IFERROR(__xludf.DUMMYFUNCTION("""COMPUTED_VALUE"""),30.0)</f>
        <v>30</v>
      </c>
      <c r="F61" s="2" t="str">
        <f>IFERROR(__xludf.DUMMYFUNCTION("""COMPUTED_VALUE"""),"Newark")</f>
        <v>Newark</v>
      </c>
    </row>
    <row r="62">
      <c r="A62" s="2" t="str">
        <f>IFERROR(__xludf.DUMMYFUNCTION("""COMPUTED_VALUE"""),"DS110")</f>
        <v>DS110</v>
      </c>
      <c r="B62" s="2" t="str">
        <f>IFERROR(__xludf.DUMMYFUNCTION("""COMPUTED_VALUE"""),"Phan, Hai")</f>
        <v>Phan, Hai</v>
      </c>
      <c r="C62" s="2">
        <f>IFERROR(__xludf.DUMMYFUNCTION("""COMPUTED_VALUE"""),30.0)</f>
        <v>30</v>
      </c>
      <c r="D62" s="2">
        <f>IFERROR(__xludf.DUMMYFUNCTION("""COMPUTED_VALUE"""),1.0)</f>
        <v>1</v>
      </c>
      <c r="E62" s="2">
        <f>IFERROR(__xludf.DUMMYFUNCTION("""COMPUTED_VALUE"""),30.0)</f>
        <v>30</v>
      </c>
      <c r="F62" s="2" t="str">
        <f>IFERROR(__xludf.DUMMYFUNCTION("""COMPUTED_VALUE"""),"Newark")</f>
        <v>Newark</v>
      </c>
    </row>
    <row r="63">
      <c r="A63" s="2" t="str">
        <f>IFERROR(__xludf.DUMMYFUNCTION("""COMPUTED_VALUE"""),"DS340")</f>
        <v>DS340</v>
      </c>
      <c r="B63" s="2" t="str">
        <f>IFERROR(__xludf.DUMMYFUNCTION("""COMPUTED_VALUE"""),"Bhavsar, Jaini")</f>
        <v>Bhavsar, Jaini</v>
      </c>
      <c r="C63" s="2">
        <f>IFERROR(__xludf.DUMMYFUNCTION("""COMPUTED_VALUE"""),30.0)</f>
        <v>30</v>
      </c>
      <c r="D63" s="2">
        <f>IFERROR(__xludf.DUMMYFUNCTION("""COMPUTED_VALUE"""),1.0)</f>
        <v>1</v>
      </c>
      <c r="E63" s="2">
        <f>IFERROR(__xludf.DUMMYFUNCTION("""COMPUTED_VALUE"""),30.0)</f>
        <v>30</v>
      </c>
      <c r="F63" s="2" t="str">
        <f>IFERROR(__xludf.DUMMYFUNCTION("""COMPUTED_VALUE"""),"Newark")</f>
        <v>Newark</v>
      </c>
    </row>
    <row r="64">
      <c r="A64" s="2" t="str">
        <f>IFERROR(__xludf.DUMMYFUNCTION("""COMPUTED_VALUE"""),"DS400")</f>
        <v>DS400</v>
      </c>
      <c r="B64" s="2" t="str">
        <f>IFERROR(__xludf.DUMMYFUNCTION("""COMPUTED_VALUE"""),"Zhang, Shuai")</f>
        <v>Zhang, Shuai</v>
      </c>
      <c r="C64" s="2">
        <f>IFERROR(__xludf.DUMMYFUNCTION("""COMPUTED_VALUE"""),30.0)</f>
        <v>30</v>
      </c>
      <c r="D64" s="2">
        <f>IFERROR(__xludf.DUMMYFUNCTION("""COMPUTED_VALUE"""),1.0)</f>
        <v>1</v>
      </c>
      <c r="E64" s="2">
        <f>IFERROR(__xludf.DUMMYFUNCTION("""COMPUTED_VALUE"""),30.0)</f>
        <v>30</v>
      </c>
      <c r="F64" s="2" t="str">
        <f>IFERROR(__xludf.DUMMYFUNCTION("""COMPUTED_VALUE"""),"Newark")</f>
        <v>Newark</v>
      </c>
    </row>
    <row r="65">
      <c r="A65" s="2" t="str">
        <f>IFERROR(__xludf.DUMMYFUNCTION("""COMPUTED_VALUE"""),"DS410")</f>
        <v>DS410</v>
      </c>
      <c r="B65" s="2" t="str">
        <f>IFERROR(__xludf.DUMMYFUNCTION("""COMPUTED_VALUE"""),"Wang, Lingxiao")</f>
        <v>Wang, Lingxiao</v>
      </c>
      <c r="C65" s="2">
        <f>IFERROR(__xludf.DUMMYFUNCTION("""COMPUTED_VALUE"""),30.0)</f>
        <v>30</v>
      </c>
      <c r="D65" s="2">
        <f>IFERROR(__xludf.DUMMYFUNCTION("""COMPUTED_VALUE"""),1.0)</f>
        <v>1</v>
      </c>
      <c r="E65" s="2">
        <f>IFERROR(__xludf.DUMMYFUNCTION("""COMPUTED_VALUE"""),30.0)</f>
        <v>30</v>
      </c>
      <c r="F65" s="2" t="str">
        <f>IFERROR(__xludf.DUMMYFUNCTION("""COMPUTED_VALUE"""),"Newark")</f>
        <v>Newark</v>
      </c>
    </row>
    <row r="66">
      <c r="A66" s="2" t="str">
        <f>IFERROR(__xludf.DUMMYFUNCTION("""COMPUTED_VALUE"""),"DS636")</f>
        <v>DS636</v>
      </c>
      <c r="B66" s="2" t="str">
        <f>IFERROR(__xludf.DUMMYFUNCTION("""COMPUTED_VALUE"""),"Bhavsar, Jaini")</f>
        <v>Bhavsar, Jaini</v>
      </c>
      <c r="C66" s="2">
        <f>IFERROR(__xludf.DUMMYFUNCTION("""COMPUTED_VALUE"""),30.0)</f>
        <v>30</v>
      </c>
      <c r="D66" s="2">
        <f>IFERROR(__xludf.DUMMYFUNCTION("""COMPUTED_VALUE"""),1.0)</f>
        <v>1</v>
      </c>
      <c r="E66" s="2">
        <f>IFERROR(__xludf.DUMMYFUNCTION("""COMPUTED_VALUE"""),30.0)</f>
        <v>30</v>
      </c>
      <c r="F66" s="2" t="str">
        <f>IFERROR(__xludf.DUMMYFUNCTION("""COMPUTED_VALUE"""),"Newark")</f>
        <v>Newark</v>
      </c>
    </row>
    <row r="67">
      <c r="A67" s="2" t="str">
        <f>IFERROR(__xludf.DUMMYFUNCTION("""COMPUTED_VALUE"""),"DS636")</f>
        <v>DS636</v>
      </c>
      <c r="B67" s="2" t="str">
        <f>IFERROR(__xludf.DUMMYFUNCTION("""COMPUTED_VALUE"""),"Bhavsar, Jaini")</f>
        <v>Bhavsar, Jaini</v>
      </c>
      <c r="C67" s="2">
        <f>IFERROR(__xludf.DUMMYFUNCTION("""COMPUTED_VALUE"""),30.0)</f>
        <v>30</v>
      </c>
      <c r="D67" s="2">
        <f>IFERROR(__xludf.DUMMYFUNCTION("""COMPUTED_VALUE"""),1.0)</f>
        <v>1</v>
      </c>
      <c r="E67" s="2">
        <f>IFERROR(__xludf.DUMMYFUNCTION("""COMPUTED_VALUE"""),30.0)</f>
        <v>30</v>
      </c>
      <c r="F67" s="2" t="str">
        <f>IFERROR(__xludf.DUMMYFUNCTION("""COMPUTED_VALUE"""),"Newark")</f>
        <v>Newark</v>
      </c>
    </row>
    <row r="68">
      <c r="A68" s="2" t="str">
        <f>IFERROR(__xludf.DUMMYFUNCTION("""COMPUTED_VALUE"""),"DS636")</f>
        <v>DS636</v>
      </c>
      <c r="B68" s="2" t="str">
        <f>IFERROR(__xludf.DUMMYFUNCTION("""COMPUTED_VALUE"""),"Bhavsar, Jaini")</f>
        <v>Bhavsar, Jaini</v>
      </c>
      <c r="C68" s="2">
        <f>IFERROR(__xludf.DUMMYFUNCTION("""COMPUTED_VALUE"""),30.0)</f>
        <v>30</v>
      </c>
      <c r="D68" s="2">
        <f>IFERROR(__xludf.DUMMYFUNCTION("""COMPUTED_VALUE"""),1.0)</f>
        <v>1</v>
      </c>
      <c r="E68" s="2">
        <f>IFERROR(__xludf.DUMMYFUNCTION("""COMPUTED_VALUE"""),30.0)</f>
        <v>30</v>
      </c>
      <c r="F68" s="2" t="str">
        <f>IFERROR(__xludf.DUMMYFUNCTION("""COMPUTED_VALUE"""),"Newark")</f>
        <v>Newark</v>
      </c>
    </row>
    <row r="69">
      <c r="A69" s="2" t="str">
        <f>IFERROR(__xludf.DUMMYFUNCTION("""COMPUTED_VALUE"""),"DS637")</f>
        <v>DS637</v>
      </c>
      <c r="B69" s="2" t="str">
        <f>IFERROR(__xludf.DUMMYFUNCTION("""COMPUTED_VALUE"""),"Nemane, Nikita")</f>
        <v>Nemane, Nikita</v>
      </c>
      <c r="C69" s="2">
        <f>IFERROR(__xludf.DUMMYFUNCTION("""COMPUTED_VALUE"""),30.0)</f>
        <v>30</v>
      </c>
      <c r="D69" s="2">
        <f>IFERROR(__xludf.DUMMYFUNCTION("""COMPUTED_VALUE"""),1.0)</f>
        <v>1</v>
      </c>
      <c r="E69" s="2">
        <f>IFERROR(__xludf.DUMMYFUNCTION("""COMPUTED_VALUE"""),30.0)</f>
        <v>30</v>
      </c>
      <c r="F69" s="2" t="str">
        <f>IFERROR(__xludf.DUMMYFUNCTION("""COMPUTED_VALUE"""),"Newark")</f>
        <v>Newark</v>
      </c>
    </row>
    <row r="70">
      <c r="A70" s="2" t="str">
        <f>IFERROR(__xludf.DUMMYFUNCTION("""COMPUTED_VALUE"""),"DS644")</f>
        <v>DS644</v>
      </c>
      <c r="B70" s="2" t="str">
        <f>IFERROR(__xludf.DUMMYFUNCTION("""COMPUTED_VALUE"""),"Kaur, Ravneet")</f>
        <v>Kaur, Ravneet</v>
      </c>
      <c r="C70" s="2">
        <f>IFERROR(__xludf.DUMMYFUNCTION("""COMPUTED_VALUE"""),30.0)</f>
        <v>30</v>
      </c>
      <c r="D70" s="2">
        <f>IFERROR(__xludf.DUMMYFUNCTION("""COMPUTED_VALUE"""),1.0)</f>
        <v>1</v>
      </c>
      <c r="E70" s="2">
        <f>IFERROR(__xludf.DUMMYFUNCTION("""COMPUTED_VALUE"""),30.0)</f>
        <v>30</v>
      </c>
      <c r="F70" s="2" t="str">
        <f>IFERROR(__xludf.DUMMYFUNCTION("""COMPUTED_VALUE"""),"Newark")</f>
        <v>Newark</v>
      </c>
    </row>
    <row r="71">
      <c r="A71" s="2" t="str">
        <f>IFERROR(__xludf.DUMMYFUNCTION("""COMPUTED_VALUE"""),"DS650")</f>
        <v>DS650</v>
      </c>
      <c r="B71" s="2" t="str">
        <f>IFERROR(__xludf.DUMMYFUNCTION("""COMPUTED_VALUE"""),"Dasgupta, Aritra")</f>
        <v>Dasgupta, Aritra</v>
      </c>
      <c r="C71" s="2">
        <f>IFERROR(__xludf.DUMMYFUNCTION("""COMPUTED_VALUE"""),30.0)</f>
        <v>30</v>
      </c>
      <c r="D71" s="2">
        <f>IFERROR(__xludf.DUMMYFUNCTION("""COMPUTED_VALUE"""),1.0)</f>
        <v>1</v>
      </c>
      <c r="E71" s="2">
        <f>IFERROR(__xludf.DUMMYFUNCTION("""COMPUTED_VALUE"""),30.0)</f>
        <v>30</v>
      </c>
      <c r="F71" s="2" t="str">
        <f>IFERROR(__xludf.DUMMYFUNCTION("""COMPUTED_VALUE"""),"Newark")</f>
        <v>Newark</v>
      </c>
    </row>
    <row r="72">
      <c r="A72" s="2" t="str">
        <f>IFERROR(__xludf.DUMMYFUNCTION("""COMPUTED_VALUE"""),"DS669")</f>
        <v>DS669</v>
      </c>
      <c r="B72" s="2" t="str">
        <f>IFERROR(__xludf.DUMMYFUNCTION("""COMPUTED_VALUE"""),"Li, Daming")</f>
        <v>Li, Daming</v>
      </c>
      <c r="C72" s="2">
        <f>IFERROR(__xludf.DUMMYFUNCTION("""COMPUTED_VALUE"""),30.0)</f>
        <v>30</v>
      </c>
      <c r="D72" s="2">
        <f>IFERROR(__xludf.DUMMYFUNCTION("""COMPUTED_VALUE"""),1.0)</f>
        <v>1</v>
      </c>
      <c r="E72" s="2">
        <f>IFERROR(__xludf.DUMMYFUNCTION("""COMPUTED_VALUE"""),30.0)</f>
        <v>30</v>
      </c>
      <c r="F72" s="2" t="str">
        <f>IFERROR(__xludf.DUMMYFUNCTION("""COMPUTED_VALUE"""),"Newark")</f>
        <v>Newark</v>
      </c>
    </row>
    <row r="73">
      <c r="A73" s="2" t="str">
        <f>IFERROR(__xludf.DUMMYFUNCTION("""COMPUTED_VALUE"""),"DS675")</f>
        <v>DS675</v>
      </c>
      <c r="B73" s="2" t="str">
        <f>IFERROR(__xludf.DUMMYFUNCTION("""COMPUTED_VALUE"""),"Roshan, Usman")</f>
        <v>Roshan, Usman</v>
      </c>
      <c r="C73" s="2">
        <f>IFERROR(__xludf.DUMMYFUNCTION("""COMPUTED_VALUE"""),30.0)</f>
        <v>30</v>
      </c>
      <c r="D73" s="2">
        <f>IFERROR(__xludf.DUMMYFUNCTION("""COMPUTED_VALUE"""),1.0)</f>
        <v>1</v>
      </c>
      <c r="E73" s="2">
        <f>IFERROR(__xludf.DUMMYFUNCTION("""COMPUTED_VALUE"""),30.0)</f>
        <v>30</v>
      </c>
      <c r="F73" s="2" t="str">
        <f>IFERROR(__xludf.DUMMYFUNCTION("""COMPUTED_VALUE"""),"Newark")</f>
        <v>Newark</v>
      </c>
    </row>
    <row r="74">
      <c r="A74" s="2" t="str">
        <f>IFERROR(__xludf.DUMMYFUNCTION("""COMPUTED_VALUE"""),"DS675")</f>
        <v>DS675</v>
      </c>
      <c r="B74" s="2" t="str">
        <f>IFERROR(__xludf.DUMMYFUNCTION("""COMPUTED_VALUE"""),"Roshan, Usman")</f>
        <v>Roshan, Usman</v>
      </c>
      <c r="C74" s="2">
        <f>IFERROR(__xludf.DUMMYFUNCTION("""COMPUTED_VALUE"""),30.0)</f>
        <v>30</v>
      </c>
      <c r="D74" s="2">
        <f>IFERROR(__xludf.DUMMYFUNCTION("""COMPUTED_VALUE"""),1.0)</f>
        <v>1</v>
      </c>
      <c r="E74" s="2">
        <f>IFERROR(__xludf.DUMMYFUNCTION("""COMPUTED_VALUE"""),30.0)</f>
        <v>30</v>
      </c>
      <c r="F74" s="2" t="str">
        <f>IFERROR(__xludf.DUMMYFUNCTION("""COMPUTED_VALUE"""),"Newark")</f>
        <v>Newark</v>
      </c>
    </row>
    <row r="75">
      <c r="A75" s="2" t="str">
        <f>IFERROR(__xludf.DUMMYFUNCTION("""COMPUTED_VALUE"""),"DS680")</f>
        <v>DS680</v>
      </c>
      <c r="B75" s="2" t="str">
        <f>IFERROR(__xludf.DUMMYFUNCTION("""COMPUTED_VALUE"""),"Du, Mengnan")</f>
        <v>Du, Mengnan</v>
      </c>
      <c r="C75" s="2">
        <f>IFERROR(__xludf.DUMMYFUNCTION("""COMPUTED_VALUE"""),30.0)</f>
        <v>30</v>
      </c>
      <c r="D75" s="2">
        <f>IFERROR(__xludf.DUMMYFUNCTION("""COMPUTED_VALUE"""),1.0)</f>
        <v>1</v>
      </c>
      <c r="E75" s="2">
        <f>IFERROR(__xludf.DUMMYFUNCTION("""COMPUTED_VALUE"""),30.0)</f>
        <v>30</v>
      </c>
      <c r="F75" s="2" t="str">
        <f>IFERROR(__xludf.DUMMYFUNCTION("""COMPUTED_VALUE"""),"Newark")</f>
        <v>Newark</v>
      </c>
    </row>
    <row r="76">
      <c r="A76" s="2" t="str">
        <f>IFERROR(__xludf.DUMMYFUNCTION("""COMPUTED_VALUE"""),"DS681")</f>
        <v>DS681</v>
      </c>
      <c r="B76" s="2" t="str">
        <f>IFERROR(__xludf.DUMMYFUNCTION("""COMPUTED_VALUE"""),"Monogioudis, Pantelis")</f>
        <v>Monogioudis, Pantelis</v>
      </c>
      <c r="C76" s="2">
        <f>IFERROR(__xludf.DUMMYFUNCTION("""COMPUTED_VALUE"""),30.0)</f>
        <v>30</v>
      </c>
      <c r="D76" s="2">
        <f>IFERROR(__xludf.DUMMYFUNCTION("""COMPUTED_VALUE"""),1.0)</f>
        <v>1</v>
      </c>
      <c r="E76" s="2">
        <f>IFERROR(__xludf.DUMMYFUNCTION("""COMPUTED_VALUE"""),30.0)</f>
        <v>30</v>
      </c>
      <c r="F76" s="2" t="str">
        <f>IFERROR(__xludf.DUMMYFUNCTION("""COMPUTED_VALUE"""),"Newark")</f>
        <v>Newark</v>
      </c>
    </row>
    <row r="77">
      <c r="A77" s="2" t="str">
        <f>IFERROR(__xludf.DUMMYFUNCTION("""COMPUTED_VALUE"""),"DS683")</f>
        <v>DS683</v>
      </c>
      <c r="B77" s="2" t="str">
        <f>IFERROR(__xludf.DUMMYFUNCTION("""COMPUTED_VALUE"""),"Xu, Mengjia")</f>
        <v>Xu, Mengjia</v>
      </c>
      <c r="C77" s="2">
        <f>IFERROR(__xludf.DUMMYFUNCTION("""COMPUTED_VALUE"""),30.0)</f>
        <v>30</v>
      </c>
      <c r="D77" s="2">
        <f>IFERROR(__xludf.DUMMYFUNCTION("""COMPUTED_VALUE"""),1.0)</f>
        <v>1</v>
      </c>
      <c r="E77" s="2">
        <f>IFERROR(__xludf.DUMMYFUNCTION("""COMPUTED_VALUE"""),30.0)</f>
        <v>30</v>
      </c>
      <c r="F77" s="2" t="str">
        <f>IFERROR(__xludf.DUMMYFUNCTION("""COMPUTED_VALUE"""),"Newark")</f>
        <v>Newark</v>
      </c>
    </row>
    <row r="78">
      <c r="A78" s="2" t="str">
        <f>IFERROR(__xludf.DUMMYFUNCTION("""COMPUTED_VALUE"""),"DS685")</f>
        <v>DS685</v>
      </c>
      <c r="B78" s="2" t="str">
        <f>IFERROR(__xludf.DUMMYFUNCTION("""COMPUTED_VALUE"""),"Monogioudis, Pantelis")</f>
        <v>Monogioudis, Pantelis</v>
      </c>
      <c r="C78" s="2">
        <f>IFERROR(__xludf.DUMMYFUNCTION("""COMPUTED_VALUE"""),30.0)</f>
        <v>30</v>
      </c>
      <c r="D78" s="2">
        <f>IFERROR(__xludf.DUMMYFUNCTION("""COMPUTED_VALUE"""),1.0)</f>
        <v>1</v>
      </c>
      <c r="E78" s="2">
        <f>IFERROR(__xludf.DUMMYFUNCTION("""COMPUTED_VALUE"""),30.0)</f>
        <v>30</v>
      </c>
      <c r="F78" s="2" t="str">
        <f>IFERROR(__xludf.DUMMYFUNCTION("""COMPUTED_VALUE"""),"Newark")</f>
        <v>Newark</v>
      </c>
    </row>
    <row r="79">
      <c r="A79" s="2" t="str">
        <f>IFERROR(__xludf.DUMMYFUNCTION("""COMPUTED_VALUE"""),"IS331")</f>
        <v>IS331</v>
      </c>
      <c r="B79" s="2" t="str">
        <f>IFERROR(__xludf.DUMMYFUNCTION("""COMPUTED_VALUE"""),"Hendela, Arthur")</f>
        <v>Hendela, Arthur</v>
      </c>
      <c r="C79" s="2">
        <f>IFERROR(__xludf.DUMMYFUNCTION("""COMPUTED_VALUE"""),35.0)</f>
        <v>35</v>
      </c>
      <c r="D79" s="2">
        <f>IFERROR(__xludf.DUMMYFUNCTION("""COMPUTED_VALUE"""),2.0)</f>
        <v>2</v>
      </c>
      <c r="E79" s="2">
        <f>IFERROR(__xludf.DUMMYFUNCTION("""COMPUTED_VALUE"""),35.0)</f>
        <v>35</v>
      </c>
      <c r="F79" s="2" t="str">
        <f>IFERROR(__xludf.DUMMYFUNCTION("""COMPUTED_VALUE"""),"Newark")</f>
        <v>Newark</v>
      </c>
    </row>
    <row r="80">
      <c r="A80" s="2" t="str">
        <f>IFERROR(__xludf.DUMMYFUNCTION("""COMPUTED_VALUE"""),"IS333")</f>
        <v>IS333</v>
      </c>
      <c r="B80" s="2" t="str">
        <f>IFERROR(__xludf.DUMMYFUNCTION("""COMPUTED_VALUE"""),"Tran, Khang")</f>
        <v>Tran, Khang</v>
      </c>
      <c r="C80" s="2">
        <f>IFERROR(__xludf.DUMMYFUNCTION("""COMPUTED_VALUE"""),35.0)</f>
        <v>35</v>
      </c>
      <c r="D80" s="2">
        <f>IFERROR(__xludf.DUMMYFUNCTION("""COMPUTED_VALUE"""),1.0)</f>
        <v>1</v>
      </c>
      <c r="E80" s="2">
        <f>IFERROR(__xludf.DUMMYFUNCTION("""COMPUTED_VALUE"""),35.0)</f>
        <v>35</v>
      </c>
      <c r="F80" s="2" t="str">
        <f>IFERROR(__xludf.DUMMYFUNCTION("""COMPUTED_VALUE"""),"Newark")</f>
        <v>Newark</v>
      </c>
    </row>
    <row r="81">
      <c r="A81" s="2" t="str">
        <f>IFERROR(__xludf.DUMMYFUNCTION("""COMPUTED_VALUE"""),"IS344")</f>
        <v>IS344</v>
      </c>
      <c r="B81" s="2" t="str">
        <f>IFERROR(__xludf.DUMMYFUNCTION("""COMPUTED_VALUE"""),"Ullman, David")</f>
        <v>Ullman, David</v>
      </c>
      <c r="C81" s="2">
        <f>IFERROR(__xludf.DUMMYFUNCTION("""COMPUTED_VALUE"""),35.0)</f>
        <v>35</v>
      </c>
      <c r="D81" s="2">
        <f>IFERROR(__xludf.DUMMYFUNCTION("""COMPUTED_VALUE"""),1.0)</f>
        <v>1</v>
      </c>
      <c r="E81" s="2">
        <f>IFERROR(__xludf.DUMMYFUNCTION("""COMPUTED_VALUE"""),35.0)</f>
        <v>35</v>
      </c>
      <c r="F81" s="2" t="str">
        <f>IFERROR(__xludf.DUMMYFUNCTION("""COMPUTED_VALUE"""),"Newark")</f>
        <v>Newark</v>
      </c>
    </row>
    <row r="82">
      <c r="A82" s="2" t="str">
        <f>IFERROR(__xludf.DUMMYFUNCTION("""COMPUTED_VALUE"""),"IS350")</f>
        <v>IS350</v>
      </c>
      <c r="B82" s="2" t="str">
        <f>IFERROR(__xludf.DUMMYFUNCTION("""COMPUTED_VALUE"""),"Kaplan, Mehmet")</f>
        <v>Kaplan, Mehmet</v>
      </c>
      <c r="C82" s="2">
        <f>IFERROR(__xludf.DUMMYFUNCTION("""COMPUTED_VALUE"""),40.0)</f>
        <v>40</v>
      </c>
      <c r="D82" s="2">
        <f>IFERROR(__xludf.DUMMYFUNCTION("""COMPUTED_VALUE"""),1.0)</f>
        <v>1</v>
      </c>
      <c r="E82" s="2">
        <f>IFERROR(__xludf.DUMMYFUNCTION("""COMPUTED_VALUE"""),40.0)</f>
        <v>40</v>
      </c>
      <c r="F82" s="2" t="str">
        <f>IFERROR(__xludf.DUMMYFUNCTION("""COMPUTED_VALUE"""),"Newark")</f>
        <v>Newark</v>
      </c>
    </row>
    <row r="83">
      <c r="A83" s="2" t="str">
        <f>IFERROR(__xludf.DUMMYFUNCTION("""COMPUTED_VALUE"""),"IS350")</f>
        <v>IS350</v>
      </c>
      <c r="B83" s="2" t="str">
        <f>IFERROR(__xludf.DUMMYFUNCTION("""COMPUTED_VALUE"""),"Ancis, Julie")</f>
        <v>Ancis, Julie</v>
      </c>
      <c r="C83" s="2">
        <f>IFERROR(__xludf.DUMMYFUNCTION("""COMPUTED_VALUE"""),40.0)</f>
        <v>40</v>
      </c>
      <c r="D83" s="2">
        <f>IFERROR(__xludf.DUMMYFUNCTION("""COMPUTED_VALUE"""),1.0)</f>
        <v>1</v>
      </c>
      <c r="E83" s="2">
        <f>IFERROR(__xludf.DUMMYFUNCTION("""COMPUTED_VALUE"""),40.0)</f>
        <v>40</v>
      </c>
      <c r="F83" s="2" t="str">
        <f>IFERROR(__xludf.DUMMYFUNCTION("""COMPUTED_VALUE"""),"Newark")</f>
        <v>Newark</v>
      </c>
    </row>
    <row r="84">
      <c r="A84" s="2" t="str">
        <f>IFERROR(__xludf.DUMMYFUNCTION("""COMPUTED_VALUE"""),"IS350")</f>
        <v>IS350</v>
      </c>
      <c r="B84" s="2" t="str">
        <f>IFERROR(__xludf.DUMMYFUNCTION("""COMPUTED_VALUE"""),"Will, Todd")</f>
        <v>Will, Todd</v>
      </c>
      <c r="C84" s="2">
        <f>IFERROR(__xludf.DUMMYFUNCTION("""COMPUTED_VALUE"""),40.0)</f>
        <v>40</v>
      </c>
      <c r="D84" s="2">
        <f>IFERROR(__xludf.DUMMYFUNCTION("""COMPUTED_VALUE"""),2.0)</f>
        <v>2</v>
      </c>
      <c r="E84" s="2">
        <f>IFERROR(__xludf.DUMMYFUNCTION("""COMPUTED_VALUE"""),40.0)</f>
        <v>40</v>
      </c>
      <c r="F84" s="2" t="str">
        <f>IFERROR(__xludf.DUMMYFUNCTION("""COMPUTED_VALUE"""),"Newark")</f>
        <v>Newark</v>
      </c>
    </row>
    <row r="85">
      <c r="A85" s="2" t="str">
        <f>IFERROR(__xludf.DUMMYFUNCTION("""COMPUTED_VALUE"""),"IS373")</f>
        <v>IS373</v>
      </c>
      <c r="B85" s="2" t="str">
        <f>IFERROR(__xludf.DUMMYFUNCTION("""COMPUTED_VALUE"""),"Williams, Keith")</f>
        <v>Williams, Keith</v>
      </c>
      <c r="C85" s="2">
        <f>IFERROR(__xludf.DUMMYFUNCTION("""COMPUTED_VALUE"""),35.0)</f>
        <v>35</v>
      </c>
      <c r="D85" s="2">
        <f>IFERROR(__xludf.DUMMYFUNCTION("""COMPUTED_VALUE"""),1.0)</f>
        <v>1</v>
      </c>
      <c r="E85" s="2">
        <f>IFERROR(__xludf.DUMMYFUNCTION("""COMPUTED_VALUE"""),35.0)</f>
        <v>35</v>
      </c>
      <c r="F85" s="2" t="str">
        <f>IFERROR(__xludf.DUMMYFUNCTION("""COMPUTED_VALUE"""),"Newark")</f>
        <v>Newark</v>
      </c>
    </row>
    <row r="86">
      <c r="A86" s="2" t="str">
        <f>IFERROR(__xludf.DUMMYFUNCTION("""COMPUTED_VALUE"""),"IS375")</f>
        <v>IS375</v>
      </c>
      <c r="B86" s="2" t="str">
        <f>IFERROR(__xludf.DUMMYFUNCTION("""COMPUTED_VALUE"""),"Spryszynski, Adam")</f>
        <v>Spryszynski, Adam</v>
      </c>
      <c r="C86" s="2">
        <f>IFERROR(__xludf.DUMMYFUNCTION("""COMPUTED_VALUE"""),35.0)</f>
        <v>35</v>
      </c>
      <c r="D86" s="2">
        <f>IFERROR(__xludf.DUMMYFUNCTION("""COMPUTED_VALUE"""),2.0)</f>
        <v>2</v>
      </c>
      <c r="E86" s="2">
        <f>IFERROR(__xludf.DUMMYFUNCTION("""COMPUTED_VALUE"""),35.0)</f>
        <v>35</v>
      </c>
      <c r="F86" s="2" t="str">
        <f>IFERROR(__xludf.DUMMYFUNCTION("""COMPUTED_VALUE"""),"Newark")</f>
        <v>Newark</v>
      </c>
    </row>
    <row r="87">
      <c r="A87" s="2" t="str">
        <f>IFERROR(__xludf.DUMMYFUNCTION("""COMPUTED_VALUE"""),"IS375")</f>
        <v>IS375</v>
      </c>
      <c r="B87" s="2" t="str">
        <f>IFERROR(__xludf.DUMMYFUNCTION("""COMPUTED_VALUE"""),"Lee, Sooyeon")</f>
        <v>Lee, Sooyeon</v>
      </c>
      <c r="C87" s="2">
        <f>IFERROR(__xludf.DUMMYFUNCTION("""COMPUTED_VALUE"""),35.0)</f>
        <v>35</v>
      </c>
      <c r="D87" s="2">
        <f>IFERROR(__xludf.DUMMYFUNCTION("""COMPUTED_VALUE"""),1.0)</f>
        <v>1</v>
      </c>
      <c r="E87" s="2">
        <f>IFERROR(__xludf.DUMMYFUNCTION("""COMPUTED_VALUE"""),35.0)</f>
        <v>35</v>
      </c>
      <c r="F87" s="2" t="str">
        <f>IFERROR(__xludf.DUMMYFUNCTION("""COMPUTED_VALUE"""),"Newark")</f>
        <v>Newark</v>
      </c>
    </row>
    <row r="88">
      <c r="A88" s="2" t="str">
        <f>IFERROR(__xludf.DUMMYFUNCTION("""COMPUTED_VALUE"""),"IS375")</f>
        <v>IS375</v>
      </c>
      <c r="B88" s="2" t="str">
        <f>IFERROR(__xludf.DUMMYFUNCTION("""COMPUTED_VALUE"""),"Lee, Sooyeon")</f>
        <v>Lee, Sooyeon</v>
      </c>
      <c r="C88" s="2">
        <f>IFERROR(__xludf.DUMMYFUNCTION("""COMPUTED_VALUE"""),35.0)</f>
        <v>35</v>
      </c>
      <c r="D88" s="2">
        <f>IFERROR(__xludf.DUMMYFUNCTION("""COMPUTED_VALUE"""),1.0)</f>
        <v>1</v>
      </c>
      <c r="E88" s="2">
        <f>IFERROR(__xludf.DUMMYFUNCTION("""COMPUTED_VALUE"""),35.0)</f>
        <v>35</v>
      </c>
      <c r="F88" s="2" t="str">
        <f>IFERROR(__xludf.DUMMYFUNCTION("""COMPUTED_VALUE"""),"Newark")</f>
        <v>Newark</v>
      </c>
    </row>
    <row r="89">
      <c r="A89" s="2" t="str">
        <f>IFERROR(__xludf.DUMMYFUNCTION("""COMPUTED_VALUE"""),"IS390")</f>
        <v>IS390</v>
      </c>
      <c r="B89" s="2" t="str">
        <f>IFERROR(__xludf.DUMMYFUNCTION("""COMPUTED_VALUE"""),"Licciardello, Thomas")</f>
        <v>Licciardello, Thomas</v>
      </c>
      <c r="C89" s="2">
        <f>IFERROR(__xludf.DUMMYFUNCTION("""COMPUTED_VALUE"""),35.0)</f>
        <v>35</v>
      </c>
      <c r="D89" s="2">
        <f>IFERROR(__xludf.DUMMYFUNCTION("""COMPUTED_VALUE"""),1.0)</f>
        <v>1</v>
      </c>
      <c r="E89" s="2">
        <f>IFERROR(__xludf.DUMMYFUNCTION("""COMPUTED_VALUE"""),35.0)</f>
        <v>35</v>
      </c>
      <c r="F89" s="2" t="str">
        <f>IFERROR(__xludf.DUMMYFUNCTION("""COMPUTED_VALUE"""),"Newark")</f>
        <v>Newark</v>
      </c>
    </row>
    <row r="90">
      <c r="A90" s="2" t="str">
        <f>IFERROR(__xludf.DUMMYFUNCTION("""COMPUTED_VALUE"""),"IS485")</f>
        <v>IS485</v>
      </c>
      <c r="B90" s="2" t="str">
        <f>IFERROR(__xludf.DUMMYFUNCTION("""COMPUTED_VALUE"""),"Mark Cartwright")</f>
        <v>Mark Cartwright</v>
      </c>
      <c r="C90" s="2">
        <f>IFERROR(__xludf.DUMMYFUNCTION("""COMPUTED_VALUE"""),35.0)</f>
        <v>35</v>
      </c>
      <c r="D90" s="2">
        <f>IFERROR(__xludf.DUMMYFUNCTION("""COMPUTED_VALUE"""),1.0)</f>
        <v>1</v>
      </c>
      <c r="E90" s="2">
        <f>IFERROR(__xludf.DUMMYFUNCTION("""COMPUTED_VALUE"""),35.0)</f>
        <v>35</v>
      </c>
      <c r="F90" s="2" t="str">
        <f>IFERROR(__xludf.DUMMYFUNCTION("""COMPUTED_VALUE"""),"Newark")</f>
        <v>Newark</v>
      </c>
    </row>
    <row r="91">
      <c r="A91" s="2" t="str">
        <f>IFERROR(__xludf.DUMMYFUNCTION("""COMPUTED_VALUE"""),"IS448")</f>
        <v>IS448</v>
      </c>
      <c r="B91" s="2" t="str">
        <f>IFERROR(__xludf.DUMMYFUNCTION("""COMPUTED_VALUE"""),"Keita, Ohshiro")</f>
        <v>Keita, Ohshiro</v>
      </c>
      <c r="C91" s="2">
        <f>IFERROR(__xludf.DUMMYFUNCTION("""COMPUTED_VALUE"""),35.0)</f>
        <v>35</v>
      </c>
      <c r="D91" s="2">
        <f>IFERROR(__xludf.DUMMYFUNCTION("""COMPUTED_VALUE"""),1.0)</f>
        <v>1</v>
      </c>
      <c r="E91" s="2">
        <f>IFERROR(__xludf.DUMMYFUNCTION("""COMPUTED_VALUE"""),35.0)</f>
        <v>35</v>
      </c>
      <c r="F91" s="2" t="str">
        <f>IFERROR(__xludf.DUMMYFUNCTION("""COMPUTED_VALUE"""),"Newark")</f>
        <v>Newark</v>
      </c>
    </row>
    <row r="92">
      <c r="A92" s="2" t="str">
        <f>IFERROR(__xludf.DUMMYFUNCTION("""COMPUTED_VALUE"""),"IS455")</f>
        <v>IS455</v>
      </c>
      <c r="B92" s="2" t="str">
        <f>IFERROR(__xludf.DUMMYFUNCTION("""COMPUTED_VALUE"""),"Egan, Rich")</f>
        <v>Egan, Rich</v>
      </c>
      <c r="C92" s="2">
        <f>IFERROR(__xludf.DUMMYFUNCTION("""COMPUTED_VALUE"""),35.0)</f>
        <v>35</v>
      </c>
      <c r="D92" s="2">
        <f>IFERROR(__xludf.DUMMYFUNCTION("""COMPUTED_VALUE"""),1.0)</f>
        <v>1</v>
      </c>
      <c r="E92" s="2">
        <f>IFERROR(__xludf.DUMMYFUNCTION("""COMPUTED_VALUE"""),35.0)</f>
        <v>35</v>
      </c>
      <c r="F92" s="2" t="str">
        <f>IFERROR(__xludf.DUMMYFUNCTION("""COMPUTED_VALUE"""),"Newark")</f>
        <v>Newark</v>
      </c>
    </row>
    <row r="93">
      <c r="A93" s="2" t="str">
        <f>IFERROR(__xludf.DUMMYFUNCTION("""COMPUTED_VALUE"""),"IS465")</f>
        <v>IS465</v>
      </c>
      <c r="B93" s="2" t="str">
        <f>IFERROR(__xludf.DUMMYFUNCTION("""COMPUTED_VALUE"""),"Lin, Lin")</f>
        <v>Lin, Lin</v>
      </c>
      <c r="C93" s="2">
        <f>IFERROR(__xludf.DUMMYFUNCTION("""COMPUTED_VALUE"""),35.0)</f>
        <v>35</v>
      </c>
      <c r="D93" s="2">
        <f>IFERROR(__xludf.DUMMYFUNCTION("""COMPUTED_VALUE"""),1.0)</f>
        <v>1</v>
      </c>
      <c r="E93" s="2">
        <f>IFERROR(__xludf.DUMMYFUNCTION("""COMPUTED_VALUE"""),35.0)</f>
        <v>35</v>
      </c>
      <c r="F93" s="2" t="str">
        <f>IFERROR(__xludf.DUMMYFUNCTION("""COMPUTED_VALUE"""),"Newark")</f>
        <v>Newark</v>
      </c>
    </row>
    <row r="94">
      <c r="A94" s="2" t="str">
        <f>IFERROR(__xludf.DUMMYFUNCTION("""COMPUTED_VALUE"""),"IS485")</f>
        <v>IS485</v>
      </c>
      <c r="B94" s="2" t="str">
        <f>IFERROR(__xludf.DUMMYFUNCTION("""COMPUTED_VALUE"""),"Pradhan, Alisha")</f>
        <v>Pradhan, Alisha</v>
      </c>
      <c r="C94" s="2">
        <f>IFERROR(__xludf.DUMMYFUNCTION("""COMPUTED_VALUE"""),30.0)</f>
        <v>30</v>
      </c>
      <c r="D94" s="2">
        <f>IFERROR(__xludf.DUMMYFUNCTION("""COMPUTED_VALUE"""),1.0)</f>
        <v>1</v>
      </c>
      <c r="E94" s="2">
        <f>IFERROR(__xludf.DUMMYFUNCTION("""COMPUTED_VALUE"""),30.0)</f>
        <v>30</v>
      </c>
      <c r="F94" s="2" t="str">
        <f>IFERROR(__xludf.DUMMYFUNCTION("""COMPUTED_VALUE"""),"Newark")</f>
        <v>Newark</v>
      </c>
    </row>
    <row r="95">
      <c r="A95" s="2" t="str">
        <f>IFERROR(__xludf.DUMMYFUNCTION("""COMPUTED_VALUE"""),"IS491")</f>
        <v>IS491</v>
      </c>
      <c r="B95" s="2" t="str">
        <f>IFERROR(__xludf.DUMMYFUNCTION("""COMPUTED_VALUE"""),"Wohn, Yvette")</f>
        <v>Wohn, Yvette</v>
      </c>
      <c r="C95" s="2">
        <f>IFERROR(__xludf.DUMMYFUNCTION("""COMPUTED_VALUE"""),19.0)</f>
        <v>19</v>
      </c>
      <c r="D95" s="2">
        <f>IFERROR(__xludf.DUMMYFUNCTION("""COMPUTED_VALUE"""),1.0)</f>
        <v>1</v>
      </c>
      <c r="E95" s="2">
        <f>IFERROR(__xludf.DUMMYFUNCTION("""COMPUTED_VALUE"""),19.0)</f>
        <v>19</v>
      </c>
      <c r="F95" s="2" t="str">
        <f>IFERROR(__xludf.DUMMYFUNCTION("""COMPUTED_VALUE"""),"Newark")</f>
        <v>Newark</v>
      </c>
    </row>
    <row r="96">
      <c r="A96" s="2" t="str">
        <f>IFERROR(__xludf.DUMMYFUNCTION("""COMPUTED_VALUE"""),"IS491")</f>
        <v>IS491</v>
      </c>
      <c r="B96" s="2" t="str">
        <f>IFERROR(__xludf.DUMMYFUNCTION("""COMPUTED_VALUE"""),"Pradhan, Alisha")</f>
        <v>Pradhan, Alisha</v>
      </c>
      <c r="C96" s="2">
        <f>IFERROR(__xludf.DUMMYFUNCTION("""COMPUTED_VALUE"""),19.0)</f>
        <v>19</v>
      </c>
      <c r="D96" s="2">
        <f>IFERROR(__xludf.DUMMYFUNCTION("""COMPUTED_VALUE"""),1.0)</f>
        <v>1</v>
      </c>
      <c r="E96" s="2">
        <f>IFERROR(__xludf.DUMMYFUNCTION("""COMPUTED_VALUE"""),19.0)</f>
        <v>19</v>
      </c>
      <c r="F96" s="2" t="str">
        <f>IFERROR(__xludf.DUMMYFUNCTION("""COMPUTED_VALUE"""),"Newark")</f>
        <v>Newark</v>
      </c>
    </row>
    <row r="97">
      <c r="A97" s="2" t="str">
        <f>IFERROR(__xludf.DUMMYFUNCTION("""COMPUTED_VALUE"""),"IS601")</f>
        <v>IS601</v>
      </c>
      <c r="B97" s="2" t="str">
        <f>IFERROR(__xludf.DUMMYFUNCTION("""COMPUTED_VALUE"""),"Williams, Keith")</f>
        <v>Williams, Keith</v>
      </c>
      <c r="C97" s="2">
        <f>IFERROR(__xludf.DUMMYFUNCTION("""COMPUTED_VALUE"""),35.0)</f>
        <v>35</v>
      </c>
      <c r="D97" s="2">
        <f>IFERROR(__xludf.DUMMYFUNCTION("""COMPUTED_VALUE"""),1.0)</f>
        <v>1</v>
      </c>
      <c r="E97" s="2">
        <f>IFERROR(__xludf.DUMMYFUNCTION("""COMPUTED_VALUE"""),35.0)</f>
        <v>35</v>
      </c>
      <c r="F97" s="2" t="str">
        <f>IFERROR(__xludf.DUMMYFUNCTION("""COMPUTED_VALUE"""),"Newark")</f>
        <v>Newark</v>
      </c>
    </row>
    <row r="98">
      <c r="A98" s="2" t="str">
        <f>IFERROR(__xludf.DUMMYFUNCTION("""COMPUTED_VALUE"""),"IS601")</f>
        <v>IS601</v>
      </c>
      <c r="B98" s="2" t="str">
        <f>IFERROR(__xludf.DUMMYFUNCTION("""COMPUTED_VALUE"""),"Suero, Brany")</f>
        <v>Suero, Brany</v>
      </c>
      <c r="C98" s="2">
        <f>IFERROR(__xludf.DUMMYFUNCTION("""COMPUTED_VALUE"""),35.0)</f>
        <v>35</v>
      </c>
      <c r="D98" s="2">
        <f>IFERROR(__xludf.DUMMYFUNCTION("""COMPUTED_VALUE"""),1.0)</f>
        <v>1</v>
      </c>
      <c r="E98" s="2">
        <f>IFERROR(__xludf.DUMMYFUNCTION("""COMPUTED_VALUE"""),35.0)</f>
        <v>35</v>
      </c>
      <c r="F98" s="2" t="str">
        <f>IFERROR(__xludf.DUMMYFUNCTION("""COMPUTED_VALUE"""),"Newark")</f>
        <v>Newark</v>
      </c>
    </row>
    <row r="99">
      <c r="A99" s="2" t="str">
        <f>IFERROR(__xludf.DUMMYFUNCTION("""COMPUTED_VALUE"""),"IS631")</f>
        <v>IS631</v>
      </c>
      <c r="B99" s="2" t="str">
        <f>IFERROR(__xludf.DUMMYFUNCTION("""COMPUTED_VALUE"""),"Markulic, James")</f>
        <v>Markulic, James</v>
      </c>
      <c r="C99" s="2">
        <f>IFERROR(__xludf.DUMMYFUNCTION("""COMPUTED_VALUE"""),35.0)</f>
        <v>35</v>
      </c>
      <c r="D99" s="2">
        <f>IFERROR(__xludf.DUMMYFUNCTION("""COMPUTED_VALUE"""),1.0)</f>
        <v>1</v>
      </c>
      <c r="E99" s="2">
        <f>IFERROR(__xludf.DUMMYFUNCTION("""COMPUTED_VALUE"""),35.0)</f>
        <v>35</v>
      </c>
      <c r="F99" s="2" t="str">
        <f>IFERROR(__xludf.DUMMYFUNCTION("""COMPUTED_VALUE"""),"Newark")</f>
        <v>Newark</v>
      </c>
    </row>
    <row r="100">
      <c r="A100" s="2" t="str">
        <f>IFERROR(__xludf.DUMMYFUNCTION("""COMPUTED_VALUE"""),"IS661")</f>
        <v>IS661</v>
      </c>
      <c r="B100" s="2" t="str">
        <f>IFERROR(__xludf.DUMMYFUNCTION("""COMPUTED_VALUE"""),"Keita, Ohshiro")</f>
        <v>Keita, Ohshiro</v>
      </c>
      <c r="C100" s="2">
        <f>IFERROR(__xludf.DUMMYFUNCTION("""COMPUTED_VALUE"""),35.0)</f>
        <v>35</v>
      </c>
      <c r="D100" s="2">
        <f>IFERROR(__xludf.DUMMYFUNCTION("""COMPUTED_VALUE"""),1.0)</f>
        <v>1</v>
      </c>
      <c r="E100" s="2">
        <f>IFERROR(__xludf.DUMMYFUNCTION("""COMPUTED_VALUE"""),35.0)</f>
        <v>35</v>
      </c>
      <c r="F100" s="2" t="str">
        <f>IFERROR(__xludf.DUMMYFUNCTION("""COMPUTED_VALUE"""),"Newark")</f>
        <v>Newark</v>
      </c>
    </row>
    <row r="101">
      <c r="A101" s="2" t="str">
        <f>IFERROR(__xludf.DUMMYFUNCTION("""COMPUTED_VALUE"""),"IS663")</f>
        <v>IS663</v>
      </c>
      <c r="B101" s="2" t="str">
        <f>IFERROR(__xludf.DUMMYFUNCTION("""COMPUTED_VALUE"""),"Kirova, Vassilka")</f>
        <v>Kirova, Vassilka</v>
      </c>
      <c r="C101" s="2">
        <f>IFERROR(__xludf.DUMMYFUNCTION("""COMPUTED_VALUE"""),30.0)</f>
        <v>30</v>
      </c>
      <c r="D101" s="2">
        <f>IFERROR(__xludf.DUMMYFUNCTION("""COMPUTED_VALUE"""),1.0)</f>
        <v>1</v>
      </c>
      <c r="E101" s="2">
        <f>IFERROR(__xludf.DUMMYFUNCTION("""COMPUTED_VALUE"""),30.0)</f>
        <v>30</v>
      </c>
      <c r="F101" s="2" t="str">
        <f>IFERROR(__xludf.DUMMYFUNCTION("""COMPUTED_VALUE"""),"Hybrid")</f>
        <v>Hybrid</v>
      </c>
    </row>
    <row r="102">
      <c r="A102" s="2" t="str">
        <f>IFERROR(__xludf.DUMMYFUNCTION("""COMPUTED_VALUE"""),"IS664")</f>
        <v>IS664</v>
      </c>
      <c r="B102" s="2" t="str">
        <f>IFERROR(__xludf.DUMMYFUNCTION("""COMPUTED_VALUE"""),"Wohn, Yvette")</f>
        <v>Wohn, Yvette</v>
      </c>
      <c r="C102" s="2">
        <f>IFERROR(__xludf.DUMMYFUNCTION("""COMPUTED_VALUE"""),35.0)</f>
        <v>35</v>
      </c>
      <c r="D102" s="2">
        <f>IFERROR(__xludf.DUMMYFUNCTION("""COMPUTED_VALUE"""),1.0)</f>
        <v>1</v>
      </c>
      <c r="E102" s="2">
        <f>IFERROR(__xludf.DUMMYFUNCTION("""COMPUTED_VALUE"""),35.0)</f>
        <v>35</v>
      </c>
      <c r="F102" s="2" t="str">
        <f>IFERROR(__xludf.DUMMYFUNCTION("""COMPUTED_VALUE"""),"Newark")</f>
        <v>Newark</v>
      </c>
    </row>
    <row r="103">
      <c r="A103" s="2" t="str">
        <f>IFERROR(__xludf.DUMMYFUNCTION("""COMPUTED_VALUE"""),"IS665")</f>
        <v>IS665</v>
      </c>
      <c r="B103" s="2" t="str">
        <f>IFERROR(__xludf.DUMMYFUNCTION("""COMPUTED_VALUE"""),"Cartwirght, Mark")</f>
        <v>Cartwirght, Mark</v>
      </c>
      <c r="C103" s="2">
        <f>IFERROR(__xludf.DUMMYFUNCTION("""COMPUTED_VALUE"""),35.0)</f>
        <v>35</v>
      </c>
      <c r="D103" s="2">
        <f>IFERROR(__xludf.DUMMYFUNCTION("""COMPUTED_VALUE"""),1.0)</f>
        <v>1</v>
      </c>
      <c r="E103" s="2">
        <f>IFERROR(__xludf.DUMMYFUNCTION("""COMPUTED_VALUE"""),35.0)</f>
        <v>35</v>
      </c>
      <c r="F103" s="2" t="str">
        <f>IFERROR(__xludf.DUMMYFUNCTION("""COMPUTED_VALUE"""),"Newark")</f>
        <v>Newark</v>
      </c>
    </row>
    <row r="104">
      <c r="A104" s="2" t="str">
        <f>IFERROR(__xludf.DUMMYFUNCTION("""COMPUTED_VALUE"""),"IS677")</f>
        <v>IS677</v>
      </c>
      <c r="B104" s="2" t="str">
        <f>IFERROR(__xludf.DUMMYFUNCTION("""COMPUTED_VALUE"""),"Ullman, David")</f>
        <v>Ullman, David</v>
      </c>
      <c r="C104" s="2">
        <f>IFERROR(__xludf.DUMMYFUNCTION("""COMPUTED_VALUE"""),35.0)</f>
        <v>35</v>
      </c>
      <c r="D104" s="2">
        <f>IFERROR(__xludf.DUMMYFUNCTION("""COMPUTED_VALUE"""),1.0)</f>
        <v>1</v>
      </c>
      <c r="E104" s="2">
        <f>IFERROR(__xludf.DUMMYFUNCTION("""COMPUTED_VALUE"""),35.0)</f>
        <v>35</v>
      </c>
      <c r="F104" s="2" t="str">
        <f>IFERROR(__xludf.DUMMYFUNCTION("""COMPUTED_VALUE"""),"Newark")</f>
        <v>Newark</v>
      </c>
    </row>
    <row r="105">
      <c r="A105" s="2" t="str">
        <f>IFERROR(__xludf.DUMMYFUNCTION("""COMPUTED_VALUE"""),"IS680")</f>
        <v>IS680</v>
      </c>
      <c r="B105" s="2" t="str">
        <f>IFERROR(__xludf.DUMMYFUNCTION("""COMPUTED_VALUE"""),"Pak, Charles")</f>
        <v>Pak, Charles</v>
      </c>
      <c r="C105" s="2">
        <f>IFERROR(__xludf.DUMMYFUNCTION("""COMPUTED_VALUE"""),35.0)</f>
        <v>35</v>
      </c>
      <c r="D105" s="2">
        <f>IFERROR(__xludf.DUMMYFUNCTION("""COMPUTED_VALUE"""),3.0)</f>
        <v>3</v>
      </c>
      <c r="E105" s="2">
        <f>IFERROR(__xludf.DUMMYFUNCTION("""COMPUTED_VALUE"""),35.0)</f>
        <v>35</v>
      </c>
      <c r="F105" s="2" t="str">
        <f>IFERROR(__xludf.DUMMYFUNCTION("""COMPUTED_VALUE"""),"Newark")</f>
        <v>Newark</v>
      </c>
    </row>
    <row r="106">
      <c r="A106" s="2" t="str">
        <f>IFERROR(__xludf.DUMMYFUNCTION("""COMPUTED_VALUE"""),"IS684")</f>
        <v>IS684</v>
      </c>
      <c r="B106" s="2" t="str">
        <f>IFERROR(__xludf.DUMMYFUNCTION("""COMPUTED_VALUE"""),"Ullman, David")</f>
        <v>Ullman, David</v>
      </c>
      <c r="C106" s="2">
        <f>IFERROR(__xludf.DUMMYFUNCTION("""COMPUTED_VALUE"""),35.0)</f>
        <v>35</v>
      </c>
      <c r="D106" s="2">
        <f>IFERROR(__xludf.DUMMYFUNCTION("""COMPUTED_VALUE"""),1.0)</f>
        <v>1</v>
      </c>
      <c r="E106" s="2">
        <f>IFERROR(__xludf.DUMMYFUNCTION("""COMPUTED_VALUE"""),35.0)</f>
        <v>35</v>
      </c>
      <c r="F106" s="2" t="str">
        <f>IFERROR(__xludf.DUMMYFUNCTION("""COMPUTED_VALUE"""),"Newark")</f>
        <v>Newark</v>
      </c>
    </row>
    <row r="107">
      <c r="A107" s="2" t="str">
        <f>IFERROR(__xludf.DUMMYFUNCTION("""COMPUTED_VALUE"""),"IS688")</f>
        <v>IS688</v>
      </c>
      <c r="B107" s="2" t="str">
        <f>IFERROR(__xludf.DUMMYFUNCTION("""COMPUTED_VALUE"""),"Lin, Lin")</f>
        <v>Lin, Lin</v>
      </c>
      <c r="C107" s="2">
        <f>IFERROR(__xludf.DUMMYFUNCTION("""COMPUTED_VALUE"""),35.0)</f>
        <v>35</v>
      </c>
      <c r="D107" s="2">
        <f>IFERROR(__xludf.DUMMYFUNCTION("""COMPUTED_VALUE"""),1.0)</f>
        <v>1</v>
      </c>
      <c r="E107" s="2">
        <f>IFERROR(__xludf.DUMMYFUNCTION("""COMPUTED_VALUE"""),35.0)</f>
        <v>35</v>
      </c>
      <c r="F107" s="2" t="str">
        <f>IFERROR(__xludf.DUMMYFUNCTION("""COMPUTED_VALUE"""),"Newark")</f>
        <v>Newark</v>
      </c>
    </row>
    <row r="108">
      <c r="A108" s="2" t="str">
        <f>IFERROR(__xludf.DUMMYFUNCTION("""COMPUTED_VALUE"""),"IS765")</f>
        <v>IS765</v>
      </c>
      <c r="B108" s="2" t="str">
        <f>IFERROR(__xludf.DUMMYFUNCTION("""COMPUTED_VALUE"""),"Vinnikov, Margarita")</f>
        <v>Vinnikov, Margarita</v>
      </c>
      <c r="C108" s="2">
        <f>IFERROR(__xludf.DUMMYFUNCTION("""COMPUTED_VALUE"""),35.0)</f>
        <v>35</v>
      </c>
      <c r="D108" s="2">
        <f>IFERROR(__xludf.DUMMYFUNCTION("""COMPUTED_VALUE"""),1.0)</f>
        <v>1</v>
      </c>
      <c r="E108" s="2">
        <f>IFERROR(__xludf.DUMMYFUNCTION("""COMPUTED_VALUE"""),35.0)</f>
        <v>35</v>
      </c>
      <c r="F108" s="2" t="str">
        <f>IFERROR(__xludf.DUMMYFUNCTION("""COMPUTED_VALUE"""),"Newark")</f>
        <v>Newark</v>
      </c>
    </row>
    <row r="109">
      <c r="A109" s="2" t="str">
        <f>IFERROR(__xludf.DUMMYFUNCTION("""COMPUTED_VALUE"""),"IS791")</f>
        <v>IS791</v>
      </c>
      <c r="B109" s="2" t="str">
        <f>IFERROR(__xludf.DUMMYFUNCTION("""COMPUTED_VALUE"""),"Wohn, Yvette")</f>
        <v>Wohn, Yvette</v>
      </c>
      <c r="C109" s="2">
        <f>IFERROR(__xludf.DUMMYFUNCTION("""COMPUTED_VALUE"""),50.0)</f>
        <v>50</v>
      </c>
      <c r="D109" s="2">
        <f>IFERROR(__xludf.DUMMYFUNCTION("""COMPUTED_VALUE"""),1.0)</f>
        <v>1</v>
      </c>
      <c r="E109" s="2">
        <f>IFERROR(__xludf.DUMMYFUNCTION("""COMPUTED_VALUE"""),50.0)</f>
        <v>50</v>
      </c>
      <c r="F109" s="2" t="str">
        <f>IFERROR(__xludf.DUMMYFUNCTION("""COMPUTED_VALUE"""),"Newark")</f>
        <v>Newark</v>
      </c>
    </row>
    <row r="110">
      <c r="A110" s="2" t="str">
        <f>IFERROR(__xludf.DUMMYFUNCTION("""COMPUTED_VALUE"""),"IT114")</f>
        <v>IT114</v>
      </c>
      <c r="B110" s="2" t="str">
        <f>IFERROR(__xludf.DUMMYFUNCTION("""COMPUTED_VALUE"""),"Toegel, Matt")</f>
        <v>Toegel, Matt</v>
      </c>
      <c r="C110" s="2">
        <f>IFERROR(__xludf.DUMMYFUNCTION("""COMPUTED_VALUE"""),35.0)</f>
        <v>35</v>
      </c>
      <c r="D110" s="2">
        <f>IFERROR(__xludf.DUMMYFUNCTION("""COMPUTED_VALUE"""),2.0)</f>
        <v>2</v>
      </c>
      <c r="E110" s="2">
        <f>IFERROR(__xludf.DUMMYFUNCTION("""COMPUTED_VALUE"""),35.0)</f>
        <v>35</v>
      </c>
      <c r="F110" s="2" t="str">
        <f>IFERROR(__xludf.DUMMYFUNCTION("""COMPUTED_VALUE"""),"Newark")</f>
        <v>Newark</v>
      </c>
    </row>
    <row r="111">
      <c r="A111" s="2" t="str">
        <f>IFERROR(__xludf.DUMMYFUNCTION("""COMPUTED_VALUE"""),"IT114")</f>
        <v>IT114</v>
      </c>
      <c r="B111" s="2" t="str">
        <f>IFERROR(__xludf.DUMMYFUNCTION("""COMPUTED_VALUE"""),"Toegel, Matt")</f>
        <v>Toegel, Matt</v>
      </c>
      <c r="C111" s="2">
        <f>IFERROR(__xludf.DUMMYFUNCTION("""COMPUTED_VALUE"""),35.0)</f>
        <v>35</v>
      </c>
      <c r="D111" s="2">
        <f>IFERROR(__xludf.DUMMYFUNCTION("""COMPUTED_VALUE"""),1.0)</f>
        <v>1</v>
      </c>
      <c r="E111" s="2">
        <f>IFERROR(__xludf.DUMMYFUNCTION("""COMPUTED_VALUE"""),35.0)</f>
        <v>35</v>
      </c>
      <c r="F111" s="2" t="str">
        <f>IFERROR(__xludf.DUMMYFUNCTION("""COMPUTED_VALUE"""),"Newark")</f>
        <v>Newark</v>
      </c>
    </row>
    <row r="112">
      <c r="A112" s="2" t="str">
        <f>IFERROR(__xludf.DUMMYFUNCTION("""COMPUTED_VALUE"""),"IT114")</f>
        <v>IT114</v>
      </c>
      <c r="B112" s="2" t="str">
        <f>IFERROR(__xludf.DUMMYFUNCTION("""COMPUTED_VALUE"""),"Halper, Michael")</f>
        <v>Halper, Michael</v>
      </c>
      <c r="C112" s="2">
        <f>IFERROR(__xludf.DUMMYFUNCTION("""COMPUTED_VALUE"""),35.0)</f>
        <v>35</v>
      </c>
      <c r="D112" s="2">
        <f>IFERROR(__xludf.DUMMYFUNCTION("""COMPUTED_VALUE"""),1.0)</f>
        <v>1</v>
      </c>
      <c r="E112" s="2">
        <f>IFERROR(__xludf.DUMMYFUNCTION("""COMPUTED_VALUE"""),35.0)</f>
        <v>35</v>
      </c>
      <c r="F112" s="2" t="str">
        <f>IFERROR(__xludf.DUMMYFUNCTION("""COMPUTED_VALUE"""),"Newark")</f>
        <v>Newark</v>
      </c>
    </row>
    <row r="113">
      <c r="A113" s="2" t="str">
        <f>IFERROR(__xludf.DUMMYFUNCTION("""COMPUTED_VALUE"""),"IT120")</f>
        <v>IT120</v>
      </c>
      <c r="B113" s="2" t="str">
        <f>IFERROR(__xludf.DUMMYFUNCTION("""COMPUTED_VALUE"""),"Farley, Jennifer")</f>
        <v>Farley, Jennifer</v>
      </c>
      <c r="C113" s="2">
        <f>IFERROR(__xludf.DUMMYFUNCTION("""COMPUTED_VALUE"""),30.0)</f>
        <v>30</v>
      </c>
      <c r="D113" s="2">
        <f>IFERROR(__xludf.DUMMYFUNCTION("""COMPUTED_VALUE"""),2.0)</f>
        <v>2</v>
      </c>
      <c r="E113" s="2">
        <f>IFERROR(__xludf.DUMMYFUNCTION("""COMPUTED_VALUE"""),30.0)</f>
        <v>30</v>
      </c>
      <c r="F113" s="2" t="str">
        <f>IFERROR(__xludf.DUMMYFUNCTION("""COMPUTED_VALUE"""),"Newark")</f>
        <v>Newark</v>
      </c>
    </row>
    <row r="114">
      <c r="A114" s="2" t="str">
        <f>IFERROR(__xludf.DUMMYFUNCTION("""COMPUTED_VALUE"""),"IT120")</f>
        <v>IT120</v>
      </c>
      <c r="B114" s="2" t="str">
        <f>IFERROR(__xludf.DUMMYFUNCTION("""COMPUTED_VALUE"""),"Watrous-deVersterre, Lori")</f>
        <v>Watrous-deVersterre, Lori</v>
      </c>
      <c r="C114" s="2">
        <f>IFERROR(__xludf.DUMMYFUNCTION("""COMPUTED_VALUE"""),30.0)</f>
        <v>30</v>
      </c>
      <c r="D114" s="2">
        <f>IFERROR(__xludf.DUMMYFUNCTION("""COMPUTED_VALUE"""),2.0)</f>
        <v>2</v>
      </c>
      <c r="E114" s="2">
        <f>IFERROR(__xludf.DUMMYFUNCTION("""COMPUTED_VALUE"""),30.0)</f>
        <v>30</v>
      </c>
      <c r="F114" s="2" t="str">
        <f>IFERROR(__xludf.DUMMYFUNCTION("""COMPUTED_VALUE"""),"Newark")</f>
        <v>Newark</v>
      </c>
    </row>
    <row r="115">
      <c r="A115" s="2" t="str">
        <f>IFERROR(__xludf.DUMMYFUNCTION("""COMPUTED_VALUE"""),"IT120")</f>
        <v>IT120</v>
      </c>
      <c r="B115" s="2" t="str">
        <f>IFERROR(__xludf.DUMMYFUNCTION("""COMPUTED_VALUE"""),"Martino, Daniel ")</f>
        <v>Martino, Daniel </v>
      </c>
      <c r="C115" s="2">
        <f>IFERROR(__xludf.DUMMYFUNCTION("""COMPUTED_VALUE"""),30.0)</f>
        <v>30</v>
      </c>
      <c r="D115" s="2">
        <f>IFERROR(__xludf.DUMMYFUNCTION("""COMPUTED_VALUE"""),1.0)</f>
        <v>1</v>
      </c>
      <c r="E115" s="2">
        <f>IFERROR(__xludf.DUMMYFUNCTION("""COMPUTED_VALUE"""),30.0)</f>
        <v>30</v>
      </c>
      <c r="F115" s="2" t="str">
        <f>IFERROR(__xludf.DUMMYFUNCTION("""COMPUTED_VALUE"""),"Newark")</f>
        <v>Newark</v>
      </c>
    </row>
    <row r="116">
      <c r="A116" s="2" t="str">
        <f>IFERROR(__xludf.DUMMYFUNCTION("""COMPUTED_VALUE"""),"IT120")</f>
        <v>IT120</v>
      </c>
      <c r="B116" s="2" t="str">
        <f>IFERROR(__xludf.DUMMYFUNCTION("""COMPUTED_VALUE"""),"Apostolyuk, Vadym")</f>
        <v>Apostolyuk, Vadym</v>
      </c>
      <c r="C116" s="2">
        <f>IFERROR(__xludf.DUMMYFUNCTION("""COMPUTED_VALUE"""),30.0)</f>
        <v>30</v>
      </c>
      <c r="D116" s="2">
        <f>IFERROR(__xludf.DUMMYFUNCTION("""COMPUTED_VALUE"""),1.0)</f>
        <v>1</v>
      </c>
      <c r="E116" s="2">
        <f>IFERROR(__xludf.DUMMYFUNCTION("""COMPUTED_VALUE"""),30.0)</f>
        <v>30</v>
      </c>
      <c r="F116" s="2" t="str">
        <f>IFERROR(__xludf.DUMMYFUNCTION("""COMPUTED_VALUE"""),"Newark")</f>
        <v>Newark</v>
      </c>
    </row>
    <row r="117">
      <c r="A117" s="2" t="str">
        <f>IFERROR(__xludf.DUMMYFUNCTION("""COMPUTED_VALUE"""),"IT202")</f>
        <v>IT202</v>
      </c>
      <c r="B117" s="2" t="str">
        <f>IFERROR(__xludf.DUMMYFUNCTION("""COMPUTED_VALUE"""),"Vohra, Rosemina")</f>
        <v>Vohra, Rosemina</v>
      </c>
      <c r="C117" s="2">
        <f>IFERROR(__xludf.DUMMYFUNCTION("""COMPUTED_VALUE"""),30.0)</f>
        <v>30</v>
      </c>
      <c r="D117" s="2">
        <f>IFERROR(__xludf.DUMMYFUNCTION("""COMPUTED_VALUE"""),3.0)</f>
        <v>3</v>
      </c>
      <c r="E117" s="2">
        <f>IFERROR(__xludf.DUMMYFUNCTION("""COMPUTED_VALUE"""),30.0)</f>
        <v>30</v>
      </c>
      <c r="F117" s="2" t="str">
        <f>IFERROR(__xludf.DUMMYFUNCTION("""COMPUTED_VALUE"""),"Newark")</f>
        <v>Newark</v>
      </c>
    </row>
    <row r="118">
      <c r="A118" s="2" t="str">
        <f>IFERROR(__xludf.DUMMYFUNCTION("""COMPUTED_VALUE"""),"IT202")</f>
        <v>IT202</v>
      </c>
      <c r="B118" s="2" t="str">
        <f>IFERROR(__xludf.DUMMYFUNCTION("""COMPUTED_VALUE"""),"Toegel, Matt")</f>
        <v>Toegel, Matt</v>
      </c>
      <c r="C118" s="2">
        <f>IFERROR(__xludf.DUMMYFUNCTION("""COMPUTED_VALUE"""),30.0)</f>
        <v>30</v>
      </c>
      <c r="D118" s="2">
        <f>IFERROR(__xludf.DUMMYFUNCTION("""COMPUTED_VALUE"""),1.0)</f>
        <v>1</v>
      </c>
      <c r="E118" s="2">
        <f>IFERROR(__xludf.DUMMYFUNCTION("""COMPUTED_VALUE"""),30.0)</f>
        <v>30</v>
      </c>
      <c r="F118" s="2" t="str">
        <f>IFERROR(__xludf.DUMMYFUNCTION("""COMPUTED_VALUE"""),"Newark")</f>
        <v>Newark</v>
      </c>
    </row>
    <row r="119">
      <c r="A119" s="2" t="str">
        <f>IFERROR(__xludf.DUMMYFUNCTION("""COMPUTED_VALUE"""),"IT202")</f>
        <v>IT202</v>
      </c>
      <c r="B119" s="2" t="str">
        <f>IFERROR(__xludf.DUMMYFUNCTION("""COMPUTED_VALUE"""),"Rendon, Andrew")</f>
        <v>Rendon, Andrew</v>
      </c>
      <c r="C119" s="2">
        <f>IFERROR(__xludf.DUMMYFUNCTION("""COMPUTED_VALUE"""),30.0)</f>
        <v>30</v>
      </c>
      <c r="D119" s="2">
        <f>IFERROR(__xludf.DUMMYFUNCTION("""COMPUTED_VALUE"""),2.0)</f>
        <v>2</v>
      </c>
      <c r="E119" s="2">
        <f>IFERROR(__xludf.DUMMYFUNCTION("""COMPUTED_VALUE"""),30.0)</f>
        <v>30</v>
      </c>
      <c r="F119" s="2" t="str">
        <f>IFERROR(__xludf.DUMMYFUNCTION("""COMPUTED_VALUE"""),"Newark")</f>
        <v>Newark</v>
      </c>
    </row>
    <row r="120">
      <c r="A120" s="2" t="str">
        <f>IFERROR(__xludf.DUMMYFUNCTION("""COMPUTED_VALUE"""),"IT220")</f>
        <v>IT220</v>
      </c>
      <c r="B120" s="2" t="str">
        <f>IFERROR(__xludf.DUMMYFUNCTION("""COMPUTED_VALUE"""),"Patel, Dipesh")</f>
        <v>Patel, Dipesh</v>
      </c>
      <c r="C120" s="2">
        <f>IFERROR(__xludf.DUMMYFUNCTION("""COMPUTED_VALUE"""),35.0)</f>
        <v>35</v>
      </c>
      <c r="D120" s="2">
        <f>IFERROR(__xludf.DUMMYFUNCTION("""COMPUTED_VALUE"""),1.0)</f>
        <v>1</v>
      </c>
      <c r="E120" s="2">
        <f>IFERROR(__xludf.DUMMYFUNCTION("""COMPUTED_VALUE"""),35.0)</f>
        <v>35</v>
      </c>
      <c r="F120" s="2" t="str">
        <f>IFERROR(__xludf.DUMMYFUNCTION("""COMPUTED_VALUE"""),"Newark")</f>
        <v>Newark</v>
      </c>
    </row>
    <row r="121">
      <c r="A121" s="2" t="str">
        <f>IFERROR(__xludf.DUMMYFUNCTION("""COMPUTED_VALUE"""),"IT220")</f>
        <v>IT220</v>
      </c>
      <c r="B121" s="2" t="str">
        <f>IFERROR(__xludf.DUMMYFUNCTION("""COMPUTED_VALUE"""),"Statica, Robert")</f>
        <v>Statica, Robert</v>
      </c>
      <c r="C121" s="2">
        <f>IFERROR(__xludf.DUMMYFUNCTION("""COMPUTED_VALUE"""),35.0)</f>
        <v>35</v>
      </c>
      <c r="D121" s="2">
        <f>IFERROR(__xludf.DUMMYFUNCTION("""COMPUTED_VALUE"""),1.0)</f>
        <v>1</v>
      </c>
      <c r="E121" s="2">
        <f>IFERROR(__xludf.DUMMYFUNCTION("""COMPUTED_VALUE"""),35.0)</f>
        <v>35</v>
      </c>
      <c r="F121" s="2" t="str">
        <f>IFERROR(__xludf.DUMMYFUNCTION("""COMPUTED_VALUE"""),"Newark")</f>
        <v>Newark</v>
      </c>
    </row>
    <row r="122">
      <c r="A122" s="2" t="str">
        <f>IFERROR(__xludf.DUMMYFUNCTION("""COMPUTED_VALUE"""),"IT220")</f>
        <v>IT220</v>
      </c>
      <c r="B122" s="2" t="str">
        <f>IFERROR(__xludf.DUMMYFUNCTION("""COMPUTED_VALUE"""),"Martino, Daniel")</f>
        <v>Martino, Daniel</v>
      </c>
      <c r="C122" s="2">
        <f>IFERROR(__xludf.DUMMYFUNCTION("""COMPUTED_VALUE"""),35.0)</f>
        <v>35</v>
      </c>
      <c r="D122" s="2">
        <f>IFERROR(__xludf.DUMMYFUNCTION("""COMPUTED_VALUE"""),1.0)</f>
        <v>1</v>
      </c>
      <c r="E122" s="2">
        <f>IFERROR(__xludf.DUMMYFUNCTION("""COMPUTED_VALUE"""),35.0)</f>
        <v>35</v>
      </c>
      <c r="F122" s="2" t="str">
        <f>IFERROR(__xludf.DUMMYFUNCTION("""COMPUTED_VALUE"""),"Newark")</f>
        <v>Newark</v>
      </c>
    </row>
    <row r="123">
      <c r="A123" s="2" t="str">
        <f>IFERROR(__xludf.DUMMYFUNCTION("""COMPUTED_VALUE"""),"IT230")</f>
        <v>IT230</v>
      </c>
      <c r="B123" s="2" t="str">
        <f>IFERROR(__xludf.DUMMYFUNCTION("""COMPUTED_VALUE"""),"Giannoglou, Karl")</f>
        <v>Giannoglou, Karl</v>
      </c>
      <c r="C123" s="2">
        <f>IFERROR(__xludf.DUMMYFUNCTION("""COMPUTED_VALUE"""),30.0)</f>
        <v>30</v>
      </c>
      <c r="D123" s="2">
        <f>IFERROR(__xludf.DUMMYFUNCTION("""COMPUTED_VALUE"""),2.0)</f>
        <v>2</v>
      </c>
      <c r="E123" s="2">
        <f>IFERROR(__xludf.DUMMYFUNCTION("""COMPUTED_VALUE"""),30.0)</f>
        <v>30</v>
      </c>
      <c r="F123" s="2" t="str">
        <f>IFERROR(__xludf.DUMMYFUNCTION("""COMPUTED_VALUE"""),"Newark")</f>
        <v>Newark</v>
      </c>
    </row>
    <row r="124">
      <c r="A124" s="2" t="str">
        <f>IFERROR(__xludf.DUMMYFUNCTION("""COMPUTED_VALUE"""),"IT230")</f>
        <v>IT230</v>
      </c>
      <c r="B124" s="2" t="str">
        <f>IFERROR(__xludf.DUMMYFUNCTION("""COMPUTED_VALUE"""),"Giannoglou, Karl")</f>
        <v>Giannoglou, Karl</v>
      </c>
      <c r="C124" s="2">
        <f>IFERROR(__xludf.DUMMYFUNCTION("""COMPUTED_VALUE"""),30.0)</f>
        <v>30</v>
      </c>
      <c r="D124" s="2">
        <f>IFERROR(__xludf.DUMMYFUNCTION("""COMPUTED_VALUE"""),1.0)</f>
        <v>1</v>
      </c>
      <c r="E124" s="2">
        <f>IFERROR(__xludf.DUMMYFUNCTION("""COMPUTED_VALUE"""),30.0)</f>
        <v>30</v>
      </c>
      <c r="F124" s="2" t="str">
        <f>IFERROR(__xludf.DUMMYFUNCTION("""COMPUTED_VALUE"""),"Newark")</f>
        <v>Newark</v>
      </c>
    </row>
    <row r="125">
      <c r="A125" s="2" t="str">
        <f>IFERROR(__xludf.DUMMYFUNCTION("""COMPUTED_VALUE"""),"IT265")</f>
        <v>IT265</v>
      </c>
      <c r="B125" s="2" t="str">
        <f>IFERROR(__xludf.DUMMYFUNCTION("""COMPUTED_VALUE"""),"Toegel, Matthew")</f>
        <v>Toegel, Matthew</v>
      </c>
      <c r="C125" s="2">
        <f>IFERROR(__xludf.DUMMYFUNCTION("""COMPUTED_VALUE"""),26.0)</f>
        <v>26</v>
      </c>
      <c r="D125" s="2">
        <f>IFERROR(__xludf.DUMMYFUNCTION("""COMPUTED_VALUE"""),1.0)</f>
        <v>1</v>
      </c>
      <c r="E125" s="2">
        <f>IFERROR(__xludf.DUMMYFUNCTION("""COMPUTED_VALUE"""),26.0)</f>
        <v>26</v>
      </c>
      <c r="F125" s="2" t="str">
        <f>IFERROR(__xludf.DUMMYFUNCTION("""COMPUTED_VALUE"""),"Newark")</f>
        <v>Newark</v>
      </c>
    </row>
    <row r="126">
      <c r="A126" s="2" t="str">
        <f>IFERROR(__xludf.DUMMYFUNCTION("""COMPUTED_VALUE"""),"IT266")</f>
        <v>IT266</v>
      </c>
      <c r="B126" s="2" t="str">
        <f>IFERROR(__xludf.DUMMYFUNCTION("""COMPUTED_VALUE"""),"Kehoe, Donald")</f>
        <v>Kehoe, Donald</v>
      </c>
      <c r="C126" s="2">
        <f>IFERROR(__xludf.DUMMYFUNCTION("""COMPUTED_VALUE"""),26.0)</f>
        <v>26</v>
      </c>
      <c r="D126" s="2">
        <f>IFERROR(__xludf.DUMMYFUNCTION("""COMPUTED_VALUE"""),1.0)</f>
        <v>1</v>
      </c>
      <c r="E126" s="2">
        <f>IFERROR(__xludf.DUMMYFUNCTION("""COMPUTED_VALUE"""),26.0)</f>
        <v>26</v>
      </c>
      <c r="F126" s="2" t="str">
        <f>IFERROR(__xludf.DUMMYFUNCTION("""COMPUTED_VALUE"""),"Newark")</f>
        <v>Newark</v>
      </c>
    </row>
    <row r="127">
      <c r="A127" s="2" t="str">
        <f>IFERROR(__xludf.DUMMYFUNCTION("""COMPUTED_VALUE"""),"IT270")</f>
        <v>IT270</v>
      </c>
      <c r="B127" s="2" t="str">
        <f>IFERROR(__xludf.DUMMYFUNCTION("""COMPUTED_VALUE"""),"Kehoe, Donald")</f>
        <v>Kehoe, Donald</v>
      </c>
      <c r="C127" s="2">
        <f>IFERROR(__xludf.DUMMYFUNCTION("""COMPUTED_VALUE"""),30.0)</f>
        <v>30</v>
      </c>
      <c r="D127" s="2">
        <f>IFERROR(__xludf.DUMMYFUNCTION("""COMPUTED_VALUE"""),1.0)</f>
        <v>1</v>
      </c>
      <c r="E127" s="2">
        <f>IFERROR(__xludf.DUMMYFUNCTION("""COMPUTED_VALUE"""),30.0)</f>
        <v>30</v>
      </c>
      <c r="F127" s="2" t="str">
        <f>IFERROR(__xludf.DUMMYFUNCTION("""COMPUTED_VALUE"""),"Newark")</f>
        <v>Newark</v>
      </c>
    </row>
    <row r="128">
      <c r="A128" s="2" t="str">
        <f>IFERROR(__xludf.DUMMYFUNCTION("""COMPUTED_VALUE"""),"IT286")</f>
        <v>IT286</v>
      </c>
      <c r="B128" s="2" t="str">
        <f>IFERROR(__xludf.DUMMYFUNCTION("""COMPUTED_VALUE"""),"Truesdell, Erin")</f>
        <v>Truesdell, Erin</v>
      </c>
      <c r="C128" s="2">
        <f>IFERROR(__xludf.DUMMYFUNCTION("""COMPUTED_VALUE"""),26.0)</f>
        <v>26</v>
      </c>
      <c r="D128" s="2">
        <f>IFERROR(__xludf.DUMMYFUNCTION("""COMPUTED_VALUE"""),1.0)</f>
        <v>1</v>
      </c>
      <c r="E128" s="2">
        <f>IFERROR(__xludf.DUMMYFUNCTION("""COMPUTED_VALUE"""),26.0)</f>
        <v>26</v>
      </c>
      <c r="F128" s="2" t="str">
        <f>IFERROR(__xludf.DUMMYFUNCTION("""COMPUTED_VALUE"""),"Newark")</f>
        <v>Newark</v>
      </c>
    </row>
    <row r="129">
      <c r="A129" s="2" t="str">
        <f>IFERROR(__xludf.DUMMYFUNCTION("""COMPUTED_VALUE"""),"IT310")</f>
        <v>IT310</v>
      </c>
      <c r="B129" s="2" t="str">
        <f>IFERROR(__xludf.DUMMYFUNCTION("""COMPUTED_VALUE"""),"Patel, Dipesh")</f>
        <v>Patel, Dipesh</v>
      </c>
      <c r="C129" s="2">
        <f>IFERROR(__xludf.DUMMYFUNCTION("""COMPUTED_VALUE"""),35.0)</f>
        <v>35</v>
      </c>
      <c r="D129" s="2">
        <f>IFERROR(__xludf.DUMMYFUNCTION("""COMPUTED_VALUE"""),2.0)</f>
        <v>2</v>
      </c>
      <c r="E129" s="2">
        <f>IFERROR(__xludf.DUMMYFUNCTION("""COMPUTED_VALUE"""),35.0)</f>
        <v>35</v>
      </c>
      <c r="F129" s="2" t="str">
        <f>IFERROR(__xludf.DUMMYFUNCTION("""COMPUTED_VALUE"""),"Hybrid")</f>
        <v>Hybrid</v>
      </c>
    </row>
    <row r="130">
      <c r="A130" s="2" t="str">
        <f>IFERROR(__xludf.DUMMYFUNCTION("""COMPUTED_VALUE"""),"IT310")</f>
        <v>IT310</v>
      </c>
      <c r="B130" s="2" t="str">
        <f>IFERROR(__xludf.DUMMYFUNCTION("""COMPUTED_VALUE"""),"Statica, Robert")</f>
        <v>Statica, Robert</v>
      </c>
      <c r="C130" s="2">
        <f>IFERROR(__xludf.DUMMYFUNCTION("""COMPUTED_VALUE"""),30.0)</f>
        <v>30</v>
      </c>
      <c r="D130" s="2">
        <f>IFERROR(__xludf.DUMMYFUNCTION("""COMPUTED_VALUE"""),1.0)</f>
        <v>1</v>
      </c>
      <c r="E130" s="2">
        <f>IFERROR(__xludf.DUMMYFUNCTION("""COMPUTED_VALUE"""),30.0)</f>
        <v>30</v>
      </c>
      <c r="F130" s="2" t="str">
        <f>IFERROR(__xludf.DUMMYFUNCTION("""COMPUTED_VALUE"""),"Newark")</f>
        <v>Newark</v>
      </c>
    </row>
    <row r="131">
      <c r="A131" s="2" t="str">
        <f>IFERROR(__xludf.DUMMYFUNCTION("""COMPUTED_VALUE"""),"IT330")</f>
        <v>IT330</v>
      </c>
      <c r="B131" s="2" t="str">
        <f>IFERROR(__xludf.DUMMYFUNCTION("""COMPUTED_VALUE"""),"Statica, Robert")</f>
        <v>Statica, Robert</v>
      </c>
      <c r="C131" s="2">
        <f>IFERROR(__xludf.DUMMYFUNCTION("""COMPUTED_VALUE"""),35.0)</f>
        <v>35</v>
      </c>
      <c r="D131" s="2">
        <f>IFERROR(__xludf.DUMMYFUNCTION("""COMPUTED_VALUE"""),1.0)</f>
        <v>1</v>
      </c>
      <c r="E131" s="2">
        <f>IFERROR(__xludf.DUMMYFUNCTION("""COMPUTED_VALUE"""),35.0)</f>
        <v>35</v>
      </c>
      <c r="F131" s="2" t="str">
        <f>IFERROR(__xludf.DUMMYFUNCTION("""COMPUTED_VALUE"""),"Hybrid")</f>
        <v>Hybrid</v>
      </c>
    </row>
    <row r="132">
      <c r="A132" s="2" t="str">
        <f>IFERROR(__xludf.DUMMYFUNCTION("""COMPUTED_VALUE"""),"IT331")</f>
        <v>IT331</v>
      </c>
      <c r="B132" s="2" t="str">
        <f>IFERROR(__xludf.DUMMYFUNCTION("""COMPUTED_VALUE"""),"Campos, Nicole")</f>
        <v>Campos, Nicole</v>
      </c>
      <c r="C132" s="2">
        <f>IFERROR(__xludf.DUMMYFUNCTION("""COMPUTED_VALUE"""),35.0)</f>
        <v>35</v>
      </c>
      <c r="D132" s="2">
        <f>IFERROR(__xludf.DUMMYFUNCTION("""COMPUTED_VALUE"""),1.0)</f>
        <v>1</v>
      </c>
      <c r="E132" s="2">
        <f>IFERROR(__xludf.DUMMYFUNCTION("""COMPUTED_VALUE"""),35.0)</f>
        <v>35</v>
      </c>
      <c r="F132" s="2" t="str">
        <f>IFERROR(__xludf.DUMMYFUNCTION("""COMPUTED_VALUE"""),"Newark")</f>
        <v>Newark</v>
      </c>
    </row>
    <row r="133">
      <c r="A133" s="2" t="str">
        <f>IFERROR(__xludf.DUMMYFUNCTION("""COMPUTED_VALUE"""),"IT332")</f>
        <v>IT332</v>
      </c>
      <c r="B133" s="2" t="str">
        <f>IFERROR(__xludf.DUMMYFUNCTION("""COMPUTED_VALUE"""),"Statica, Robert")</f>
        <v>Statica, Robert</v>
      </c>
      <c r="C133" s="2">
        <f>IFERROR(__xludf.DUMMYFUNCTION("""COMPUTED_VALUE"""),35.0)</f>
        <v>35</v>
      </c>
      <c r="D133" s="2">
        <f>IFERROR(__xludf.DUMMYFUNCTION("""COMPUTED_VALUE"""),1.0)</f>
        <v>1</v>
      </c>
      <c r="E133" s="2">
        <f>IFERROR(__xludf.DUMMYFUNCTION("""COMPUTED_VALUE"""),35.0)</f>
        <v>35</v>
      </c>
      <c r="F133" s="2" t="str">
        <f>IFERROR(__xludf.DUMMYFUNCTION("""COMPUTED_VALUE"""),"Hybrid")</f>
        <v>Hybrid</v>
      </c>
    </row>
    <row r="134">
      <c r="A134" s="2" t="str">
        <f>IFERROR(__xludf.DUMMYFUNCTION("""COMPUTED_VALUE"""),"IT332")</f>
        <v>IT332</v>
      </c>
      <c r="B134" s="2" t="str">
        <f>IFERROR(__xludf.DUMMYFUNCTION("""COMPUTED_VALUE"""),"Campos, Nicole")</f>
        <v>Campos, Nicole</v>
      </c>
      <c r="C134" s="2">
        <f>IFERROR(__xludf.DUMMYFUNCTION("""COMPUTED_VALUE"""),35.0)</f>
        <v>35</v>
      </c>
      <c r="D134" s="2">
        <f>IFERROR(__xludf.DUMMYFUNCTION("""COMPUTED_VALUE"""),1.0)</f>
        <v>1</v>
      </c>
      <c r="E134" s="2">
        <f>IFERROR(__xludf.DUMMYFUNCTION("""COMPUTED_VALUE"""),35.0)</f>
        <v>35</v>
      </c>
      <c r="F134" s="2" t="str">
        <f>IFERROR(__xludf.DUMMYFUNCTION("""COMPUTED_VALUE"""),"Newark")</f>
        <v>Newark</v>
      </c>
    </row>
    <row r="135">
      <c r="A135" s="2" t="str">
        <f>IFERROR(__xludf.DUMMYFUNCTION("""COMPUTED_VALUE"""),"IT340")</f>
        <v>IT340</v>
      </c>
      <c r="B135" s="2" t="str">
        <f>IFERROR(__xludf.DUMMYFUNCTION("""COMPUTED_VALUE"""),"Senesy, Stanley")</f>
        <v>Senesy, Stanley</v>
      </c>
      <c r="C135" s="2">
        <f>IFERROR(__xludf.DUMMYFUNCTION("""COMPUTED_VALUE"""),30.0)</f>
        <v>30</v>
      </c>
      <c r="D135" s="2">
        <f>IFERROR(__xludf.DUMMYFUNCTION("""COMPUTED_VALUE"""),2.0)</f>
        <v>2</v>
      </c>
      <c r="E135" s="2">
        <f>IFERROR(__xludf.DUMMYFUNCTION("""COMPUTED_VALUE"""),30.0)</f>
        <v>30</v>
      </c>
      <c r="F135" s="2" t="str">
        <f>IFERROR(__xludf.DUMMYFUNCTION("""COMPUTED_VALUE"""),"Newark")</f>
        <v>Newark</v>
      </c>
    </row>
    <row r="136">
      <c r="A136" s="2" t="str">
        <f>IFERROR(__xludf.DUMMYFUNCTION("""COMPUTED_VALUE"""),"IT340")</f>
        <v>IT340</v>
      </c>
      <c r="B136" s="2" t="str">
        <f>IFERROR(__xludf.DUMMYFUNCTION("""COMPUTED_VALUE"""),"Giannoglou, Karl")</f>
        <v>Giannoglou, Karl</v>
      </c>
      <c r="C136" s="2">
        <f>IFERROR(__xludf.DUMMYFUNCTION("""COMPUTED_VALUE"""),30.0)</f>
        <v>30</v>
      </c>
      <c r="D136" s="2">
        <f>IFERROR(__xludf.DUMMYFUNCTION("""COMPUTED_VALUE"""),1.0)</f>
        <v>1</v>
      </c>
      <c r="E136" s="2">
        <f>IFERROR(__xludf.DUMMYFUNCTION("""COMPUTED_VALUE"""),30.0)</f>
        <v>30</v>
      </c>
      <c r="F136" s="2" t="str">
        <f>IFERROR(__xludf.DUMMYFUNCTION("""COMPUTED_VALUE"""),"Newark")</f>
        <v>Newark</v>
      </c>
    </row>
    <row r="137">
      <c r="A137" s="2" t="str">
        <f>IFERROR(__xludf.DUMMYFUNCTION("""COMPUTED_VALUE"""),"IT342")</f>
        <v>IT342</v>
      </c>
      <c r="B137" s="2" t="str">
        <f>IFERROR(__xludf.DUMMYFUNCTION("""COMPUTED_VALUE"""),"Giannoglou, Karl")</f>
        <v>Giannoglou, Karl</v>
      </c>
      <c r="C137" s="2">
        <f>IFERROR(__xludf.DUMMYFUNCTION("""COMPUTED_VALUE"""),30.0)</f>
        <v>30</v>
      </c>
      <c r="D137" s="2">
        <f>IFERROR(__xludf.DUMMYFUNCTION("""COMPUTED_VALUE"""),1.0)</f>
        <v>1</v>
      </c>
      <c r="E137" s="2">
        <f>IFERROR(__xludf.DUMMYFUNCTION("""COMPUTED_VALUE"""),30.0)</f>
        <v>30</v>
      </c>
      <c r="F137" s="2" t="str">
        <f>IFERROR(__xludf.DUMMYFUNCTION("""COMPUTED_VALUE"""),"Newark")</f>
        <v>Newark</v>
      </c>
    </row>
    <row r="138">
      <c r="A138" s="2" t="str">
        <f>IFERROR(__xludf.DUMMYFUNCTION("""COMPUTED_VALUE"""),"IT360")</f>
        <v>IT360</v>
      </c>
      <c r="B138" s="2" t="str">
        <f>IFERROR(__xludf.DUMMYFUNCTION("""COMPUTED_VALUE"""),"Weiss, Tomer")</f>
        <v>Weiss, Tomer</v>
      </c>
      <c r="C138" s="2">
        <f>IFERROR(__xludf.DUMMYFUNCTION("""COMPUTED_VALUE"""),26.0)</f>
        <v>26</v>
      </c>
      <c r="D138" s="2">
        <f>IFERROR(__xludf.DUMMYFUNCTION("""COMPUTED_VALUE"""),1.0)</f>
        <v>1</v>
      </c>
      <c r="E138" s="2">
        <f>IFERROR(__xludf.DUMMYFUNCTION("""COMPUTED_VALUE"""),26.0)</f>
        <v>26</v>
      </c>
      <c r="F138" s="2" t="str">
        <f>IFERROR(__xludf.DUMMYFUNCTION("""COMPUTED_VALUE"""),"Newark")</f>
        <v>Newark</v>
      </c>
    </row>
    <row r="139">
      <c r="A139" s="2" t="str">
        <f>IFERROR(__xludf.DUMMYFUNCTION("""COMPUTED_VALUE"""),"IT382")</f>
        <v>IT382</v>
      </c>
      <c r="B139" s="2" t="str">
        <f>IFERROR(__xludf.DUMMYFUNCTION("""COMPUTED_VALUE"""),"Vinnikov, Margarita")</f>
        <v>Vinnikov, Margarita</v>
      </c>
      <c r="C139" s="2">
        <f>IFERROR(__xludf.DUMMYFUNCTION("""COMPUTED_VALUE"""),26.0)</f>
        <v>26</v>
      </c>
      <c r="D139" s="2">
        <f>IFERROR(__xludf.DUMMYFUNCTION("""COMPUTED_VALUE"""),1.0)</f>
        <v>1</v>
      </c>
      <c r="E139" s="2">
        <f>IFERROR(__xludf.DUMMYFUNCTION("""COMPUTED_VALUE"""),26.0)</f>
        <v>26</v>
      </c>
      <c r="F139" s="2" t="str">
        <f>IFERROR(__xludf.DUMMYFUNCTION("""COMPUTED_VALUE"""),"Newark")</f>
        <v>Newark</v>
      </c>
    </row>
    <row r="140">
      <c r="A140" s="2" t="str">
        <f>IFERROR(__xludf.DUMMYFUNCTION("""COMPUTED_VALUE"""),"IT420")</f>
        <v>IT420</v>
      </c>
      <c r="B140" s="2" t="str">
        <f>IFERROR(__xludf.DUMMYFUNCTION("""COMPUTED_VALUE"""),"Farley, Jennifer")</f>
        <v>Farley, Jennifer</v>
      </c>
      <c r="C140" s="2">
        <f>IFERROR(__xludf.DUMMYFUNCTION("""COMPUTED_VALUE"""),30.0)</f>
        <v>30</v>
      </c>
      <c r="D140" s="2">
        <f>IFERROR(__xludf.DUMMYFUNCTION("""COMPUTED_VALUE"""),4.0)</f>
        <v>4</v>
      </c>
      <c r="E140" s="2">
        <f>IFERROR(__xludf.DUMMYFUNCTION("""COMPUTED_VALUE"""),30.0)</f>
        <v>30</v>
      </c>
      <c r="F140" s="2" t="str">
        <f>IFERROR(__xludf.DUMMYFUNCTION("""COMPUTED_VALUE"""),"Newark")</f>
        <v>Newark</v>
      </c>
    </row>
    <row r="141">
      <c r="A141" s="2" t="str">
        <f>IFERROR(__xludf.DUMMYFUNCTION("""COMPUTED_VALUE"""),"IT420")</f>
        <v>IT420</v>
      </c>
      <c r="B141" s="2" t="str">
        <f>IFERROR(__xludf.DUMMYFUNCTION("""COMPUTED_VALUE"""),"Grayson, Tanisha")</f>
        <v>Grayson, Tanisha</v>
      </c>
      <c r="C141" s="2">
        <f>IFERROR(__xludf.DUMMYFUNCTION("""COMPUTED_VALUE"""),30.0)</f>
        <v>30</v>
      </c>
      <c r="D141" s="2">
        <f>IFERROR(__xludf.DUMMYFUNCTION("""COMPUTED_VALUE"""),1.0)</f>
        <v>1</v>
      </c>
      <c r="E141" s="2">
        <f>IFERROR(__xludf.DUMMYFUNCTION("""COMPUTED_VALUE"""),30.0)</f>
        <v>30</v>
      </c>
      <c r="F141" s="2" t="str">
        <f>IFERROR(__xludf.DUMMYFUNCTION("""COMPUTED_VALUE"""),"Newark")</f>
        <v>Newark</v>
      </c>
    </row>
    <row r="142">
      <c r="A142" s="2" t="str">
        <f>IFERROR(__xludf.DUMMYFUNCTION("""COMPUTED_VALUE"""),"IT430")</f>
        <v>IT430</v>
      </c>
      <c r="B142" s="2" t="str">
        <f>IFERROR(__xludf.DUMMYFUNCTION("""COMPUTED_VALUE"""),"Senesy, Stanley")</f>
        <v>Senesy, Stanley</v>
      </c>
      <c r="C142" s="2">
        <f>IFERROR(__xludf.DUMMYFUNCTION("""COMPUTED_VALUE"""),30.0)</f>
        <v>30</v>
      </c>
      <c r="D142" s="2">
        <f>IFERROR(__xludf.DUMMYFUNCTION("""COMPUTED_VALUE"""),1.0)</f>
        <v>1</v>
      </c>
      <c r="E142" s="2">
        <f>IFERROR(__xludf.DUMMYFUNCTION("""COMPUTED_VALUE"""),30.0)</f>
        <v>30</v>
      </c>
      <c r="F142" s="2" t="str">
        <f>IFERROR(__xludf.DUMMYFUNCTION("""COMPUTED_VALUE"""),"Newark")</f>
        <v>Newark</v>
      </c>
    </row>
    <row r="143">
      <c r="A143" s="2" t="str">
        <f>IFERROR(__xludf.DUMMYFUNCTION("""COMPUTED_VALUE"""),"IT485")</f>
        <v>IT485</v>
      </c>
      <c r="B143" s="2" t="str">
        <f>IFERROR(__xludf.DUMMYFUNCTION("""COMPUTED_VALUE"""),"Spryszynski, Adam")</f>
        <v>Spryszynski, Adam</v>
      </c>
      <c r="C143" s="2">
        <f>IFERROR(__xludf.DUMMYFUNCTION("""COMPUTED_VALUE"""),35.0)</f>
        <v>35</v>
      </c>
      <c r="D143" s="2">
        <f>IFERROR(__xludf.DUMMYFUNCTION("""COMPUTED_VALUE"""),1.0)</f>
        <v>1</v>
      </c>
      <c r="E143" s="2">
        <f>IFERROR(__xludf.DUMMYFUNCTION("""COMPUTED_VALUE"""),35.0)</f>
        <v>35</v>
      </c>
      <c r="F143" s="2" t="str">
        <f>IFERROR(__xludf.DUMMYFUNCTION("""COMPUTED_VALUE"""),"Newark")</f>
        <v>Newark</v>
      </c>
    </row>
    <row r="144">
      <c r="A144" s="2" t="str">
        <f>IFERROR(__xludf.DUMMYFUNCTION("""COMPUTED_VALUE"""),"IT466")</f>
        <v>IT466</v>
      </c>
      <c r="B144" s="2" t="str">
        <f>IFERROR(__xludf.DUMMYFUNCTION("""COMPUTED_VALUE"""),"Kehoe, Donald")</f>
        <v>Kehoe, Donald</v>
      </c>
      <c r="C144" s="2">
        <f>IFERROR(__xludf.DUMMYFUNCTION("""COMPUTED_VALUE"""),26.0)</f>
        <v>26</v>
      </c>
      <c r="D144" s="2">
        <f>IFERROR(__xludf.DUMMYFUNCTION("""COMPUTED_VALUE"""),1.0)</f>
        <v>1</v>
      </c>
      <c r="E144" s="2">
        <f>IFERROR(__xludf.DUMMYFUNCTION("""COMPUTED_VALUE"""),26.0)</f>
        <v>26</v>
      </c>
      <c r="F144" s="2" t="str">
        <f>IFERROR(__xludf.DUMMYFUNCTION("""COMPUTED_VALUE"""),"Newark")</f>
        <v>Newark</v>
      </c>
    </row>
    <row r="145">
      <c r="A145" s="2" t="str">
        <f>IFERROR(__xludf.DUMMYFUNCTION("""COMPUTED_VALUE"""),"IT487")</f>
        <v>IT487</v>
      </c>
      <c r="B145" s="2" t="str">
        <f>IFERROR(__xludf.DUMMYFUNCTION("""COMPUTED_VALUE"""),"Zhang, Lei")</f>
        <v>Zhang, Lei</v>
      </c>
      <c r="C145" s="2">
        <f>IFERROR(__xludf.DUMMYFUNCTION("""COMPUTED_VALUE"""),26.0)</f>
        <v>26</v>
      </c>
      <c r="D145" s="2">
        <f>IFERROR(__xludf.DUMMYFUNCTION("""COMPUTED_VALUE"""),1.0)</f>
        <v>1</v>
      </c>
      <c r="E145" s="2">
        <f>IFERROR(__xludf.DUMMYFUNCTION("""COMPUTED_VALUE"""),26.0)</f>
        <v>26</v>
      </c>
      <c r="F145" s="2" t="str">
        <f>IFERROR(__xludf.DUMMYFUNCTION("""COMPUTED_VALUE"""),"Newark")</f>
        <v>Newark</v>
      </c>
    </row>
    <row r="146">
      <c r="A146" s="2" t="str">
        <f>IFERROR(__xludf.DUMMYFUNCTION("""COMPUTED_VALUE"""),"IT490")</f>
        <v>IT490</v>
      </c>
      <c r="B146" s="2" t="str">
        <f>IFERROR(__xludf.DUMMYFUNCTION("""COMPUTED_VALUE"""),"Patel, Dipesh")</f>
        <v>Patel, Dipesh</v>
      </c>
      <c r="C146" s="2">
        <f>IFERROR(__xludf.DUMMYFUNCTION("""COMPUTED_VALUE"""),36.0)</f>
        <v>36</v>
      </c>
      <c r="D146" s="2">
        <f>IFERROR(__xludf.DUMMYFUNCTION("""COMPUTED_VALUE"""),2.0)</f>
        <v>2</v>
      </c>
      <c r="E146" s="2">
        <f>IFERROR(__xludf.DUMMYFUNCTION("""COMPUTED_VALUE"""),36.0)</f>
        <v>36</v>
      </c>
      <c r="F146" s="2" t="str">
        <f>IFERROR(__xludf.DUMMYFUNCTION("""COMPUTED_VALUE"""),"Newark")</f>
        <v>Newark</v>
      </c>
    </row>
    <row r="147">
      <c r="A147" s="2" t="str">
        <f>IFERROR(__xludf.DUMMYFUNCTION("""COMPUTED_VALUE"""),"IT490")</f>
        <v>IT490</v>
      </c>
      <c r="B147" s="2" t="str">
        <f>IFERROR(__xludf.DUMMYFUNCTION("""COMPUTED_VALUE"""),"Kehoe, Donald")</f>
        <v>Kehoe, Donald</v>
      </c>
      <c r="C147" s="2">
        <f>IFERROR(__xludf.DUMMYFUNCTION("""COMPUTED_VALUE"""),36.0)</f>
        <v>36</v>
      </c>
      <c r="D147" s="2">
        <f>IFERROR(__xludf.DUMMYFUNCTION("""COMPUTED_VALUE"""),2.0)</f>
        <v>2</v>
      </c>
      <c r="E147" s="2">
        <f>IFERROR(__xludf.DUMMYFUNCTION("""COMPUTED_VALUE"""),36.0)</f>
        <v>36</v>
      </c>
      <c r="F147" s="2" t="str">
        <f>IFERROR(__xludf.DUMMYFUNCTION("""COMPUTED_VALUE"""),"Newark")</f>
        <v>Newark</v>
      </c>
    </row>
    <row r="148">
      <c r="A148" s="2"/>
      <c r="B148" s="2"/>
      <c r="C148" s="2"/>
      <c r="D148" s="2"/>
      <c r="E148" s="2"/>
      <c r="F148" s="2"/>
    </row>
    <row r="149">
      <c r="A149" s="2"/>
      <c r="B149" s="2"/>
      <c r="C149" s="2"/>
      <c r="D149" s="2"/>
      <c r="E149" s="2"/>
      <c r="F149" s="2"/>
    </row>
    <row r="150">
      <c r="A150" s="2"/>
      <c r="B150" s="2"/>
      <c r="C150" s="2"/>
      <c r="D150" s="2"/>
      <c r="E150" s="2"/>
      <c r="F150" s="2"/>
    </row>
    <row r="151">
      <c r="A151" s="2"/>
      <c r="B151" s="2"/>
      <c r="C151" s="2"/>
      <c r="D151" s="2"/>
      <c r="E151" s="2"/>
      <c r="F151" s="2"/>
    </row>
    <row r="152">
      <c r="A152" s="2"/>
      <c r="B152" s="2"/>
      <c r="C152" s="2"/>
      <c r="D152" s="2"/>
      <c r="E152" s="2"/>
      <c r="F152" s="2"/>
    </row>
    <row r="153">
      <c r="A153" s="2"/>
      <c r="B153" s="2"/>
      <c r="C153" s="2"/>
      <c r="D153" s="2"/>
      <c r="E153" s="2"/>
      <c r="F153" s="2"/>
    </row>
    <row r="154">
      <c r="A154" s="2"/>
      <c r="B154" s="2"/>
      <c r="C154" s="2"/>
      <c r="D154" s="2"/>
      <c r="E154" s="2"/>
      <c r="F154" s="2"/>
    </row>
    <row r="155">
      <c r="A155" s="2"/>
      <c r="B155" s="2"/>
      <c r="C155" s="2"/>
      <c r="D155" s="2"/>
      <c r="E155" s="2"/>
      <c r="F155" s="2"/>
    </row>
    <row r="156">
      <c r="A156" s="2"/>
      <c r="B156" s="2"/>
      <c r="C156" s="2"/>
      <c r="D156" s="2"/>
      <c r="E156" s="2"/>
      <c r="F156" s="2"/>
    </row>
    <row r="157">
      <c r="A157" s="2"/>
      <c r="B157" s="2"/>
      <c r="C157" s="2"/>
      <c r="D157" s="2"/>
      <c r="E157" s="2"/>
      <c r="F157" s="2"/>
    </row>
    <row r="158">
      <c r="A158" s="2"/>
      <c r="B158" s="2"/>
      <c r="C158" s="2"/>
      <c r="D158" s="2"/>
      <c r="E158" s="2"/>
      <c r="F158" s="2"/>
    </row>
    <row r="159">
      <c r="A159" s="2"/>
      <c r="B159" s="2"/>
      <c r="C159" s="2"/>
      <c r="D159" s="2"/>
      <c r="E159" s="2"/>
      <c r="F159" s="2"/>
    </row>
    <row r="160">
      <c r="A160" s="2"/>
      <c r="B160" s="2"/>
      <c r="C160" s="2"/>
      <c r="D160" s="2"/>
      <c r="E160" s="2"/>
      <c r="F160" s="2"/>
    </row>
    <row r="161">
      <c r="A161" s="2"/>
      <c r="B161" s="2"/>
      <c r="C161" s="2"/>
      <c r="D161" s="2"/>
      <c r="E161" s="2"/>
      <c r="F161" s="2"/>
    </row>
    <row r="162">
      <c r="A162" s="2"/>
      <c r="B162" s="2"/>
      <c r="C162" s="2"/>
      <c r="D162" s="2"/>
      <c r="E162" s="2"/>
      <c r="F162" s="2"/>
    </row>
    <row r="163">
      <c r="A163" s="2"/>
      <c r="B163" s="2"/>
      <c r="C163" s="2"/>
      <c r="D163" s="2"/>
      <c r="E163" s="2"/>
      <c r="F163" s="2"/>
    </row>
    <row r="164">
      <c r="A164" s="2"/>
      <c r="B164" s="2"/>
      <c r="C164" s="2"/>
      <c r="D164" s="2"/>
      <c r="E164" s="2"/>
      <c r="F164" s="2"/>
    </row>
    <row r="165">
      <c r="A165" s="2"/>
      <c r="B165" s="2"/>
      <c r="C165" s="2"/>
      <c r="D165" s="2"/>
      <c r="E165" s="2"/>
      <c r="F165" s="2"/>
    </row>
    <row r="166">
      <c r="A166" s="2"/>
      <c r="B166" s="2"/>
      <c r="C166" s="2"/>
      <c r="D166" s="2"/>
      <c r="E166" s="2"/>
      <c r="F166" s="2"/>
    </row>
    <row r="167">
      <c r="A167" s="2"/>
      <c r="B167" s="2"/>
      <c r="C167" s="2"/>
      <c r="D167" s="2"/>
      <c r="E167" s="2"/>
      <c r="F167" s="2"/>
    </row>
    <row r="168">
      <c r="A168" s="2"/>
      <c r="B168" s="2"/>
      <c r="C168" s="2"/>
      <c r="D168" s="2"/>
      <c r="E168" s="2"/>
      <c r="F168" s="2"/>
    </row>
    <row r="169">
      <c r="A169" s="2"/>
      <c r="B169" s="2"/>
      <c r="C169" s="2"/>
      <c r="D169" s="2"/>
      <c r="E169" s="2"/>
      <c r="F169" s="2"/>
    </row>
    <row r="170">
      <c r="A170" s="2"/>
      <c r="B170" s="2"/>
      <c r="C170" s="2"/>
      <c r="D170" s="2"/>
      <c r="E170" s="2"/>
      <c r="F170" s="2"/>
    </row>
    <row r="171">
      <c r="A171" s="2"/>
      <c r="B171" s="2"/>
      <c r="C171" s="2"/>
      <c r="D171" s="2"/>
      <c r="E171" s="2"/>
      <c r="F171" s="2"/>
    </row>
    <row r="172">
      <c r="A172" s="2"/>
      <c r="B172" s="2"/>
      <c r="C172" s="2"/>
      <c r="D172" s="2"/>
      <c r="E172" s="2"/>
      <c r="F172" s="2"/>
    </row>
    <row r="173">
      <c r="A173" s="2"/>
      <c r="B173" s="2"/>
      <c r="C173" s="2"/>
      <c r="D173" s="2"/>
      <c r="E173" s="2"/>
      <c r="F173" s="2"/>
    </row>
    <row r="174">
      <c r="A174" s="2"/>
      <c r="B174" s="2"/>
      <c r="C174" s="2"/>
      <c r="D174" s="2"/>
      <c r="E174" s="2"/>
      <c r="F174" s="2"/>
    </row>
    <row r="175">
      <c r="A175" s="2"/>
      <c r="B175" s="2"/>
      <c r="C175" s="2"/>
      <c r="D175" s="2"/>
      <c r="E175" s="2"/>
      <c r="F175" s="2"/>
    </row>
    <row r="176">
      <c r="A176" s="2"/>
      <c r="B176" s="2"/>
      <c r="C176" s="2"/>
      <c r="D176" s="2"/>
      <c r="E176" s="2"/>
      <c r="F176" s="2"/>
    </row>
    <row r="177">
      <c r="A177" s="2"/>
      <c r="B177" s="2"/>
      <c r="C177" s="2"/>
      <c r="D177" s="2"/>
      <c r="E177" s="2"/>
      <c r="F177" s="2"/>
    </row>
    <row r="178">
      <c r="A178" s="2"/>
      <c r="B178" s="2"/>
      <c r="C178" s="2"/>
      <c r="D178" s="2"/>
      <c r="E178" s="2"/>
      <c r="F178" s="2"/>
    </row>
    <row r="179">
      <c r="A179" s="2"/>
      <c r="B179" s="2"/>
      <c r="C179" s="2"/>
      <c r="D179" s="2"/>
      <c r="E179" s="2"/>
      <c r="F179" s="2"/>
    </row>
    <row r="180">
      <c r="A180" s="2"/>
      <c r="B180" s="2"/>
      <c r="C180" s="2"/>
      <c r="D180" s="2"/>
      <c r="E180" s="2"/>
      <c r="F180" s="2"/>
    </row>
    <row r="181">
      <c r="A181" s="2"/>
      <c r="B181" s="2"/>
      <c r="C181" s="2"/>
      <c r="D181" s="2"/>
      <c r="E181" s="2"/>
      <c r="F181" s="2"/>
    </row>
    <row r="182">
      <c r="A182" s="2"/>
      <c r="B182" s="2"/>
      <c r="C182" s="2"/>
      <c r="D182" s="2"/>
      <c r="E182" s="2"/>
      <c r="F182" s="2"/>
    </row>
    <row r="183">
      <c r="A183" s="2"/>
      <c r="B183" s="2"/>
      <c r="C183" s="2"/>
      <c r="D183" s="2"/>
      <c r="E183" s="2"/>
      <c r="F183" s="2"/>
    </row>
    <row r="184">
      <c r="A184" s="2"/>
      <c r="B184" s="2"/>
      <c r="C184" s="2"/>
      <c r="D184" s="2"/>
      <c r="E184" s="2"/>
      <c r="F184" s="2"/>
    </row>
    <row r="185">
      <c r="A185" s="2"/>
      <c r="B185" s="2"/>
      <c r="C185" s="2"/>
      <c r="D185" s="2"/>
      <c r="E185" s="2"/>
      <c r="F185" s="2"/>
    </row>
    <row r="186">
      <c r="A186" s="2"/>
      <c r="B186" s="2"/>
      <c r="C186" s="2"/>
      <c r="D186" s="2"/>
      <c r="E186" s="2"/>
      <c r="F186" s="2"/>
    </row>
    <row r="187">
      <c r="A187" s="2"/>
      <c r="B187" s="2"/>
      <c r="C187" s="2"/>
      <c r="D187" s="2"/>
      <c r="E187" s="2"/>
      <c r="F187" s="2"/>
    </row>
    <row r="188">
      <c r="A188" s="2"/>
      <c r="B188" s="2"/>
      <c r="C188" s="2"/>
      <c r="D188" s="2"/>
      <c r="E188" s="2"/>
      <c r="F188" s="2"/>
    </row>
    <row r="189">
      <c r="A189" s="2"/>
      <c r="B189" s="2"/>
      <c r="C189" s="2"/>
      <c r="D189" s="2"/>
      <c r="E189" s="2"/>
      <c r="F189" s="2"/>
    </row>
    <row r="190">
      <c r="A190" s="2"/>
      <c r="B190" s="2"/>
      <c r="C190" s="2"/>
      <c r="D190" s="2"/>
      <c r="E190" s="2"/>
      <c r="F190" s="2"/>
    </row>
    <row r="191">
      <c r="A191" s="2"/>
      <c r="B191" s="2"/>
      <c r="C191" s="2"/>
      <c r="D191" s="2"/>
      <c r="E191" s="2"/>
      <c r="F191" s="2"/>
    </row>
    <row r="192">
      <c r="A192" s="2"/>
      <c r="B192" s="2"/>
      <c r="C192" s="2"/>
      <c r="D192" s="2"/>
      <c r="E192" s="2"/>
      <c r="F192" s="2"/>
    </row>
    <row r="193">
      <c r="A193" s="2"/>
      <c r="B193" s="2"/>
      <c r="C193" s="2"/>
      <c r="D193" s="2"/>
      <c r="E193" s="2"/>
      <c r="F193" s="2"/>
    </row>
    <row r="194">
      <c r="A194" s="2"/>
      <c r="B194" s="2"/>
      <c r="C194" s="2"/>
      <c r="D194" s="2"/>
      <c r="E194" s="2"/>
      <c r="F194" s="2"/>
    </row>
    <row r="195">
      <c r="A195" s="2"/>
      <c r="B195" s="2"/>
      <c r="C195" s="2"/>
      <c r="D195" s="2"/>
      <c r="E195" s="2"/>
      <c r="F195" s="2"/>
    </row>
    <row r="196">
      <c r="A196" s="2"/>
      <c r="B196" s="2"/>
      <c r="C196" s="2"/>
      <c r="D196" s="2"/>
      <c r="E196" s="2"/>
      <c r="F196" s="2"/>
    </row>
    <row r="197">
      <c r="A197" s="2"/>
      <c r="B197" s="2"/>
      <c r="C197" s="2"/>
      <c r="D197" s="2"/>
      <c r="E197" s="2"/>
      <c r="F197" s="2"/>
    </row>
    <row r="198">
      <c r="A198" s="2"/>
      <c r="B198" s="2"/>
      <c r="C198" s="2"/>
      <c r="D198" s="2"/>
      <c r="E198" s="2"/>
      <c r="F198" s="2"/>
    </row>
    <row r="199">
      <c r="A199" s="2"/>
      <c r="B199" s="2"/>
      <c r="C199" s="2"/>
      <c r="D199" s="2"/>
      <c r="E199" s="2"/>
      <c r="F199" s="2"/>
    </row>
    <row r="200">
      <c r="A200" s="2"/>
      <c r="B200" s="2"/>
      <c r="C200" s="2"/>
      <c r="D200" s="2"/>
      <c r="E200" s="2"/>
      <c r="F200" s="2"/>
    </row>
    <row r="201">
      <c r="A201" s="2"/>
      <c r="B201" s="2"/>
      <c r="C201" s="2"/>
      <c r="D201" s="2"/>
      <c r="E201" s="2"/>
      <c r="F201" s="2"/>
    </row>
    <row r="202">
      <c r="A202" s="2"/>
      <c r="B202" s="2"/>
      <c r="C202" s="2"/>
      <c r="D202" s="2"/>
      <c r="E202" s="2"/>
      <c r="F202" s="2"/>
    </row>
    <row r="203">
      <c r="A203" s="2"/>
      <c r="B203" s="2"/>
      <c r="C203" s="2"/>
      <c r="D203" s="2"/>
      <c r="E203" s="2"/>
      <c r="F203" s="2"/>
    </row>
    <row r="204">
      <c r="A204" s="2"/>
      <c r="B204" s="2"/>
      <c r="C204" s="2"/>
      <c r="D204" s="2"/>
      <c r="E204" s="2"/>
      <c r="F204" s="2"/>
    </row>
    <row r="205">
      <c r="A205" s="2"/>
      <c r="B205" s="2"/>
      <c r="C205" s="2"/>
      <c r="D205" s="2"/>
      <c r="E205" s="2"/>
      <c r="F205" s="2"/>
    </row>
    <row r="206">
      <c r="A206" s="2"/>
      <c r="B206" s="2"/>
      <c r="C206" s="2"/>
      <c r="D206" s="2"/>
      <c r="E206" s="2"/>
      <c r="F206" s="2"/>
    </row>
    <row r="207">
      <c r="A207" s="2"/>
      <c r="B207" s="2"/>
      <c r="C207" s="2"/>
      <c r="D207" s="2"/>
      <c r="E207" s="2"/>
      <c r="F207" s="2"/>
    </row>
    <row r="208">
      <c r="A208" s="2"/>
      <c r="B208" s="2"/>
      <c r="C208" s="2"/>
      <c r="D208" s="2"/>
      <c r="E208" s="2"/>
      <c r="F208" s="2"/>
    </row>
    <row r="209">
      <c r="A209" s="2"/>
      <c r="B209" s="2"/>
      <c r="C209" s="2"/>
      <c r="D209" s="2"/>
      <c r="E209" s="2"/>
      <c r="F209" s="2"/>
    </row>
    <row r="210">
      <c r="A210" s="2"/>
      <c r="B210" s="2"/>
      <c r="C210" s="2"/>
      <c r="D210" s="2"/>
      <c r="E210" s="2"/>
      <c r="F210" s="2"/>
    </row>
    <row r="211">
      <c r="A211" s="2"/>
      <c r="B211" s="2"/>
      <c r="C211" s="2"/>
      <c r="D211" s="2"/>
      <c r="E211" s="2"/>
      <c r="F211" s="2"/>
    </row>
    <row r="212">
      <c r="A212" s="2"/>
      <c r="B212" s="2"/>
      <c r="C212" s="2"/>
      <c r="D212" s="2"/>
      <c r="E212" s="2"/>
      <c r="F212" s="2"/>
    </row>
    <row r="213">
      <c r="A213" s="2"/>
      <c r="B213" s="2"/>
      <c r="C213" s="2"/>
      <c r="D213" s="2"/>
      <c r="E213" s="2"/>
      <c r="F213" s="2"/>
    </row>
    <row r="214">
      <c r="A214" s="2"/>
      <c r="B214" s="2"/>
      <c r="C214" s="2"/>
      <c r="D214" s="2"/>
      <c r="E214" s="2"/>
      <c r="F214" s="2"/>
    </row>
    <row r="215">
      <c r="A215" s="2"/>
      <c r="B215" s="2"/>
      <c r="C215" s="2"/>
      <c r="D215" s="2"/>
      <c r="E215" s="2"/>
      <c r="F215" s="2"/>
    </row>
    <row r="216">
      <c r="A216" s="2"/>
      <c r="B216" s="2"/>
      <c r="C216" s="2"/>
      <c r="D216" s="2"/>
      <c r="E216" s="2"/>
      <c r="F216" s="2"/>
    </row>
    <row r="217">
      <c r="A217" s="2"/>
      <c r="B217" s="2"/>
      <c r="C217" s="2"/>
      <c r="D217" s="2"/>
      <c r="E217" s="2"/>
      <c r="F217" s="2"/>
    </row>
    <row r="218">
      <c r="A218" s="2"/>
      <c r="B218" s="2"/>
      <c r="C218" s="2"/>
      <c r="D218" s="2"/>
      <c r="E218" s="2"/>
      <c r="F218" s="2"/>
    </row>
    <row r="219">
      <c r="A219" s="2"/>
      <c r="B219" s="2"/>
      <c r="C219" s="2"/>
      <c r="D219" s="2"/>
      <c r="E219" s="2"/>
      <c r="F219" s="2"/>
    </row>
    <row r="220">
      <c r="A220" s="2"/>
      <c r="B220" s="2"/>
      <c r="C220" s="2"/>
      <c r="D220" s="2"/>
      <c r="E220" s="2"/>
      <c r="F220" s="2"/>
    </row>
    <row r="221">
      <c r="A221" s="2"/>
      <c r="B221" s="2"/>
      <c r="C221" s="2"/>
      <c r="D221" s="2"/>
      <c r="E221" s="2"/>
      <c r="F221" s="2"/>
    </row>
    <row r="222">
      <c r="A222" s="2"/>
      <c r="B222" s="2"/>
      <c r="C222" s="2"/>
      <c r="D222" s="2"/>
      <c r="E222" s="2"/>
      <c r="F222" s="2"/>
    </row>
    <row r="223">
      <c r="A223" s="2"/>
      <c r="B223" s="2"/>
      <c r="C223" s="2"/>
      <c r="D223" s="2"/>
      <c r="E223" s="2"/>
      <c r="F223" s="2"/>
    </row>
    <row r="224">
      <c r="A224" s="2"/>
      <c r="B224" s="2"/>
      <c r="C224" s="2"/>
      <c r="D224" s="2"/>
      <c r="E224" s="2"/>
      <c r="F224" s="2"/>
    </row>
    <row r="225">
      <c r="A225" s="2"/>
      <c r="B225" s="2"/>
      <c r="C225" s="2"/>
      <c r="D225" s="2"/>
      <c r="E225" s="2"/>
      <c r="F225" s="2"/>
    </row>
    <row r="226">
      <c r="A226" s="2"/>
      <c r="B226" s="2"/>
      <c r="C226" s="2"/>
      <c r="D226" s="2"/>
      <c r="E226" s="2"/>
      <c r="F226" s="2"/>
    </row>
    <row r="227">
      <c r="A227" s="2"/>
      <c r="B227" s="2"/>
      <c r="C227" s="2"/>
      <c r="D227" s="2"/>
      <c r="E227" s="2"/>
      <c r="F227" s="2"/>
    </row>
    <row r="228">
      <c r="A228" s="2"/>
      <c r="B228" s="2"/>
      <c r="C228" s="2"/>
      <c r="D228" s="2"/>
      <c r="E228" s="2"/>
      <c r="F228" s="2"/>
    </row>
    <row r="229">
      <c r="A229" s="2"/>
      <c r="B229" s="2"/>
      <c r="C229" s="2"/>
      <c r="D229" s="2"/>
      <c r="E229" s="2"/>
      <c r="F229" s="2"/>
    </row>
    <row r="230">
      <c r="A230" s="2"/>
      <c r="B230" s="2"/>
      <c r="C230" s="2"/>
      <c r="D230" s="2"/>
      <c r="E230" s="2"/>
      <c r="F230" s="2"/>
    </row>
    <row r="231">
      <c r="A231" s="2"/>
      <c r="B231" s="2"/>
      <c r="C231" s="2"/>
      <c r="D231" s="2"/>
      <c r="E231" s="2"/>
      <c r="F231" s="2"/>
    </row>
    <row r="232">
      <c r="A232" s="2"/>
      <c r="B232" s="2"/>
      <c r="C232" s="2"/>
      <c r="D232" s="2"/>
      <c r="E232" s="2"/>
      <c r="F232" s="2"/>
    </row>
    <row r="233">
      <c r="A233" s="2"/>
      <c r="B233" s="2"/>
      <c r="C233" s="2"/>
      <c r="D233" s="2"/>
      <c r="E233" s="2"/>
      <c r="F233" s="2"/>
    </row>
    <row r="234">
      <c r="A234" s="2"/>
      <c r="B234" s="2"/>
      <c r="C234" s="2"/>
      <c r="D234" s="2"/>
      <c r="E234" s="2"/>
      <c r="F234" s="2"/>
    </row>
    <row r="235">
      <c r="A235" s="2"/>
      <c r="B235" s="2"/>
      <c r="C235" s="2"/>
      <c r="D235" s="2"/>
      <c r="E235" s="2"/>
      <c r="F235" s="2"/>
    </row>
    <row r="236">
      <c r="A236" s="2"/>
      <c r="B236" s="2"/>
      <c r="C236" s="2"/>
      <c r="D236" s="2"/>
      <c r="E236" s="2"/>
      <c r="F236" s="2"/>
    </row>
    <row r="237">
      <c r="A237" s="2"/>
      <c r="B237" s="2"/>
      <c r="C237" s="2"/>
      <c r="D237" s="2"/>
      <c r="E237" s="2"/>
      <c r="F237" s="2"/>
    </row>
    <row r="238">
      <c r="A238" s="2"/>
      <c r="B238" s="2"/>
      <c r="C238" s="2"/>
      <c r="D238" s="2"/>
      <c r="E238" s="2"/>
      <c r="F238" s="2"/>
    </row>
    <row r="239">
      <c r="A239" s="2"/>
      <c r="B239" s="2"/>
      <c r="C239" s="2"/>
      <c r="D239" s="2"/>
      <c r="E239" s="2"/>
      <c r="F239" s="2"/>
    </row>
    <row r="240">
      <c r="A240" s="2"/>
      <c r="B240" s="2"/>
      <c r="C240" s="2"/>
      <c r="D240" s="2"/>
      <c r="E240" s="2"/>
      <c r="F240" s="2"/>
    </row>
    <row r="241">
      <c r="A241" s="2"/>
      <c r="B241" s="2"/>
      <c r="C241" s="2"/>
      <c r="D241" s="2"/>
      <c r="E241" s="2"/>
      <c r="F241" s="2"/>
    </row>
    <row r="242">
      <c r="A242" s="2"/>
      <c r="B242" s="2"/>
      <c r="C242" s="2"/>
      <c r="D242" s="2"/>
      <c r="E242" s="2"/>
      <c r="F242" s="2"/>
    </row>
    <row r="243">
      <c r="A243" s="2"/>
      <c r="B243" s="2"/>
      <c r="C243" s="2"/>
      <c r="D243" s="2"/>
      <c r="E243" s="2"/>
      <c r="F243" s="2"/>
    </row>
    <row r="244">
      <c r="A244" s="2"/>
      <c r="B244" s="2"/>
      <c r="C244" s="2"/>
      <c r="D244" s="2"/>
      <c r="E244" s="2"/>
      <c r="F244" s="2"/>
    </row>
    <row r="245">
      <c r="A245" s="2"/>
      <c r="B245" s="2"/>
      <c r="C245" s="2"/>
      <c r="D245" s="2"/>
      <c r="E245" s="2"/>
      <c r="F245" s="2"/>
    </row>
    <row r="246">
      <c r="A246" s="2"/>
      <c r="B246" s="2"/>
      <c r="C246" s="2"/>
      <c r="D246" s="2"/>
      <c r="E246" s="2"/>
      <c r="F246" s="2"/>
    </row>
    <row r="247">
      <c r="A247" s="2"/>
      <c r="B247" s="2"/>
      <c r="C247" s="2"/>
      <c r="D247" s="2"/>
      <c r="E247" s="2"/>
      <c r="F247" s="2"/>
    </row>
    <row r="248">
      <c r="A248" s="2"/>
      <c r="B248" s="2"/>
      <c r="C248" s="2"/>
      <c r="D248" s="2"/>
      <c r="E248" s="2"/>
      <c r="F248" s="2"/>
    </row>
    <row r="249">
      <c r="A249" s="2"/>
      <c r="B249" s="2"/>
      <c r="C249" s="2"/>
      <c r="D249" s="2"/>
      <c r="E249" s="2"/>
      <c r="F249" s="2"/>
    </row>
    <row r="250">
      <c r="A250" s="2"/>
      <c r="B250" s="2"/>
      <c r="C250" s="2"/>
      <c r="D250" s="2"/>
      <c r="E250" s="2"/>
      <c r="F250" s="2"/>
    </row>
    <row r="251">
      <c r="A251" s="2"/>
      <c r="B251" s="2"/>
      <c r="C251" s="2"/>
      <c r="D251" s="2"/>
      <c r="E251" s="2"/>
      <c r="F251" s="2"/>
    </row>
    <row r="252">
      <c r="A252" s="2"/>
      <c r="B252" s="2"/>
      <c r="C252" s="2"/>
      <c r="D252" s="2"/>
      <c r="E252" s="2"/>
      <c r="F252" s="2"/>
    </row>
    <row r="253">
      <c r="A253" s="2"/>
      <c r="B253" s="2"/>
      <c r="C253" s="2"/>
      <c r="D253" s="2"/>
      <c r="E253" s="2"/>
      <c r="F253" s="2"/>
    </row>
    <row r="254">
      <c r="A254" s="2"/>
      <c r="B254" s="2"/>
      <c r="C254" s="2"/>
      <c r="D254" s="2"/>
      <c r="E254" s="2"/>
      <c r="F254" s="2"/>
    </row>
    <row r="255">
      <c r="A255" s="2"/>
      <c r="B255" s="2"/>
      <c r="C255" s="2"/>
      <c r="D255" s="2"/>
      <c r="E255" s="2"/>
      <c r="F255" s="2"/>
    </row>
    <row r="256">
      <c r="A256" s="2"/>
      <c r="B256" s="2"/>
      <c r="C256" s="2"/>
      <c r="D256" s="2"/>
      <c r="E256" s="2"/>
      <c r="F256" s="2"/>
    </row>
    <row r="257">
      <c r="A257" s="2"/>
      <c r="B257" s="2"/>
      <c r="C257" s="2"/>
      <c r="D257" s="2"/>
      <c r="E257" s="2"/>
      <c r="F257" s="2"/>
    </row>
    <row r="258">
      <c r="A258" s="2"/>
      <c r="B258" s="2"/>
      <c r="C258" s="2"/>
      <c r="D258" s="2"/>
      <c r="E258" s="2"/>
      <c r="F258" s="2"/>
    </row>
    <row r="259">
      <c r="A259" s="2"/>
      <c r="B259" s="2"/>
      <c r="C259" s="2"/>
      <c r="D259" s="2"/>
      <c r="E259" s="2"/>
      <c r="F259" s="2"/>
    </row>
    <row r="260">
      <c r="A260" s="2"/>
      <c r="B260" s="2"/>
      <c r="C260" s="2"/>
      <c r="D260" s="2"/>
      <c r="E260" s="2"/>
      <c r="F260" s="2"/>
    </row>
    <row r="261">
      <c r="A261" s="2"/>
      <c r="B261" s="2"/>
      <c r="C261" s="2"/>
      <c r="D261" s="2"/>
      <c r="E261" s="2"/>
      <c r="F261" s="2"/>
    </row>
    <row r="262">
      <c r="A262" s="2"/>
      <c r="B262" s="2"/>
      <c r="C262" s="2"/>
      <c r="D262" s="2"/>
      <c r="E262" s="2"/>
      <c r="F262" s="2"/>
    </row>
    <row r="263">
      <c r="A263" s="2"/>
      <c r="B263" s="2"/>
      <c r="C263" s="2"/>
      <c r="D263" s="2"/>
      <c r="E263" s="2"/>
      <c r="F263" s="2"/>
    </row>
    <row r="264">
      <c r="A264" s="2"/>
      <c r="B264" s="2"/>
      <c r="C264" s="2"/>
      <c r="D264" s="2"/>
      <c r="E264" s="2"/>
      <c r="F264" s="2"/>
    </row>
    <row r="265">
      <c r="A265" s="2"/>
      <c r="B265" s="2"/>
      <c r="C265" s="2"/>
      <c r="D265" s="2"/>
      <c r="E265" s="2"/>
      <c r="F265" s="2"/>
    </row>
    <row r="266">
      <c r="A266" s="2"/>
      <c r="B266" s="2"/>
      <c r="C266" s="2"/>
      <c r="D266" s="2"/>
      <c r="E266" s="2"/>
      <c r="F266" s="2"/>
    </row>
    <row r="267">
      <c r="A267" s="2"/>
      <c r="B267" s="2"/>
      <c r="C267" s="2"/>
      <c r="D267" s="2"/>
      <c r="E267" s="2"/>
      <c r="F267" s="2"/>
    </row>
    <row r="268">
      <c r="A268" s="2"/>
      <c r="B268" s="2"/>
      <c r="C268" s="2"/>
      <c r="D268" s="2"/>
      <c r="E268" s="2"/>
      <c r="F268" s="2"/>
    </row>
    <row r="269">
      <c r="A269" s="2"/>
      <c r="B269" s="2"/>
      <c r="C269" s="2"/>
      <c r="D269" s="2"/>
      <c r="E269" s="2"/>
      <c r="F269" s="2"/>
    </row>
    <row r="270">
      <c r="A270" s="2"/>
      <c r="B270" s="2"/>
      <c r="C270" s="2"/>
      <c r="D270" s="2"/>
      <c r="E270" s="2"/>
      <c r="F270" s="2"/>
    </row>
    <row r="271">
      <c r="A271" s="2"/>
      <c r="B271" s="2"/>
      <c r="C271" s="2"/>
      <c r="D271" s="2"/>
      <c r="E271" s="2"/>
      <c r="F271" s="2"/>
    </row>
    <row r="272">
      <c r="A272" s="2"/>
      <c r="B272" s="2"/>
      <c r="C272" s="2"/>
      <c r="D272" s="2"/>
      <c r="E272" s="2"/>
      <c r="F272" s="2"/>
    </row>
    <row r="273">
      <c r="A273" s="2"/>
      <c r="B273" s="2"/>
      <c r="C273" s="2"/>
      <c r="D273" s="2"/>
      <c r="E273" s="2"/>
      <c r="F273" s="2"/>
    </row>
    <row r="274">
      <c r="A274" s="2"/>
      <c r="B274" s="2"/>
      <c r="C274" s="2"/>
      <c r="D274" s="2"/>
      <c r="E274" s="2"/>
      <c r="F274" s="2"/>
    </row>
    <row r="275">
      <c r="A275" s="2"/>
      <c r="B275" s="2"/>
      <c r="C275" s="2"/>
      <c r="D275" s="2"/>
      <c r="E275" s="2"/>
      <c r="F275" s="2"/>
    </row>
    <row r="276">
      <c r="A276" s="2"/>
      <c r="B276" s="2"/>
      <c r="C276" s="2"/>
      <c r="D276" s="2"/>
      <c r="E276" s="2"/>
      <c r="F276" s="2"/>
    </row>
    <row r="277">
      <c r="A277" s="2"/>
      <c r="B277" s="2"/>
      <c r="C277" s="2"/>
      <c r="D277" s="2"/>
      <c r="E277" s="2"/>
      <c r="F277" s="2"/>
    </row>
    <row r="278">
      <c r="A278" s="2"/>
      <c r="B278" s="2"/>
      <c r="C278" s="2"/>
      <c r="D278" s="2"/>
      <c r="E278" s="2"/>
      <c r="F278" s="2"/>
    </row>
    <row r="279">
      <c r="A279" s="2"/>
      <c r="B279" s="2"/>
      <c r="C279" s="2"/>
      <c r="D279" s="2"/>
      <c r="E279" s="2"/>
      <c r="F279" s="2"/>
    </row>
    <row r="280">
      <c r="A280" s="2"/>
      <c r="B280" s="2"/>
      <c r="C280" s="2"/>
      <c r="D280" s="2"/>
      <c r="E280" s="2"/>
      <c r="F280" s="2"/>
    </row>
    <row r="281">
      <c r="A281" s="2"/>
      <c r="B281" s="2"/>
      <c r="C281" s="2"/>
      <c r="D281" s="2"/>
      <c r="E281" s="2"/>
      <c r="F281" s="2"/>
    </row>
    <row r="282">
      <c r="A282" s="2"/>
      <c r="B282" s="2"/>
      <c r="C282" s="2"/>
      <c r="D282" s="2"/>
      <c r="E282" s="2"/>
      <c r="F282" s="2"/>
    </row>
    <row r="283">
      <c r="A283" s="2"/>
      <c r="B283" s="2"/>
      <c r="C283" s="2"/>
      <c r="D283" s="2"/>
      <c r="E283" s="2"/>
      <c r="F283" s="2"/>
    </row>
    <row r="284">
      <c r="A284" s="2"/>
      <c r="B284" s="2"/>
      <c r="C284" s="2"/>
      <c r="D284" s="2"/>
      <c r="E284" s="2"/>
      <c r="F284" s="2"/>
    </row>
    <row r="285">
      <c r="A285" s="2"/>
      <c r="B285" s="2"/>
      <c r="C285" s="2"/>
      <c r="D285" s="2"/>
      <c r="E285" s="2"/>
      <c r="F285" s="2"/>
    </row>
    <row r="286">
      <c r="A286" s="2"/>
      <c r="B286" s="2"/>
      <c r="C286" s="2"/>
      <c r="D286" s="2"/>
      <c r="E286" s="2"/>
      <c r="F286" s="2"/>
    </row>
    <row r="287">
      <c r="A287" s="2"/>
      <c r="B287" s="2"/>
      <c r="C287" s="2"/>
      <c r="D287" s="2"/>
      <c r="E287" s="2"/>
      <c r="F287" s="2"/>
    </row>
    <row r="288">
      <c r="A288" s="2"/>
      <c r="B288" s="2"/>
      <c r="C288" s="2"/>
      <c r="D288" s="2"/>
      <c r="E288" s="2"/>
      <c r="F288" s="2"/>
    </row>
    <row r="289">
      <c r="A289" s="2"/>
      <c r="B289" s="2"/>
      <c r="C289" s="2"/>
      <c r="D289" s="2"/>
      <c r="E289" s="2"/>
      <c r="F289" s="2"/>
    </row>
    <row r="290">
      <c r="A290" s="2"/>
      <c r="B290" s="2"/>
      <c r="C290" s="2"/>
      <c r="D290" s="2"/>
      <c r="E290" s="2"/>
      <c r="F290" s="2"/>
    </row>
    <row r="291">
      <c r="A291" s="2"/>
      <c r="B291" s="2"/>
      <c r="C291" s="2"/>
      <c r="D291" s="2"/>
      <c r="E291" s="2"/>
      <c r="F291" s="2"/>
    </row>
    <row r="292">
      <c r="A292" s="2"/>
      <c r="B292" s="2"/>
      <c r="C292" s="2"/>
      <c r="D292" s="2"/>
      <c r="E292" s="2"/>
      <c r="F292" s="2"/>
    </row>
    <row r="293">
      <c r="A293" s="2"/>
      <c r="B293" s="2"/>
      <c r="C293" s="2"/>
      <c r="D293" s="2"/>
      <c r="E293" s="2"/>
      <c r="F293" s="2"/>
    </row>
    <row r="294">
      <c r="A294" s="2"/>
      <c r="B294" s="2"/>
      <c r="C294" s="2"/>
      <c r="D294" s="2"/>
      <c r="E294" s="2"/>
      <c r="F294" s="2"/>
    </row>
    <row r="295">
      <c r="A295" s="2"/>
      <c r="B295" s="2"/>
      <c r="C295" s="2"/>
      <c r="D295" s="2"/>
      <c r="E295" s="2"/>
      <c r="F295" s="2"/>
    </row>
    <row r="296">
      <c r="A296" s="2"/>
      <c r="B296" s="2"/>
      <c r="C296" s="2"/>
      <c r="D296" s="2"/>
      <c r="E296" s="2"/>
      <c r="F296" s="2"/>
    </row>
    <row r="297">
      <c r="A297" s="2"/>
      <c r="B297" s="2"/>
      <c r="C297" s="2"/>
      <c r="D297" s="2"/>
      <c r="E297" s="2"/>
      <c r="F297" s="2"/>
    </row>
    <row r="298">
      <c r="A298" s="2"/>
      <c r="B298" s="2"/>
      <c r="C298" s="2"/>
      <c r="D298" s="2"/>
      <c r="E298" s="2"/>
      <c r="F298" s="2"/>
    </row>
    <row r="299">
      <c r="A299" s="2"/>
      <c r="B299" s="2"/>
      <c r="C299" s="2"/>
      <c r="D299" s="2"/>
      <c r="E299" s="2"/>
      <c r="F299" s="2"/>
    </row>
    <row r="300">
      <c r="A300" s="2"/>
      <c r="B300" s="2"/>
      <c r="C300" s="2"/>
      <c r="D300" s="2"/>
      <c r="E300" s="2"/>
      <c r="F300" s="2"/>
    </row>
    <row r="301">
      <c r="A301" s="2"/>
      <c r="B301" s="2"/>
      <c r="C301" s="2"/>
      <c r="D301" s="2"/>
      <c r="E301" s="2"/>
      <c r="F301" s="2"/>
    </row>
    <row r="302">
      <c r="A302" s="2"/>
      <c r="B302" s="2"/>
      <c r="C302" s="2"/>
      <c r="D302" s="2"/>
      <c r="E302" s="2"/>
      <c r="F302" s="2"/>
    </row>
    <row r="303">
      <c r="A303" s="2"/>
      <c r="B303" s="2"/>
      <c r="C303" s="2"/>
      <c r="D303" s="2"/>
      <c r="E303" s="2"/>
      <c r="F303" s="2"/>
    </row>
    <row r="304">
      <c r="A304" s="2"/>
      <c r="B304" s="2"/>
      <c r="C304" s="2"/>
      <c r="D304" s="2"/>
      <c r="E304" s="2"/>
      <c r="F304" s="2"/>
    </row>
    <row r="305">
      <c r="A305" s="2"/>
      <c r="B305" s="2"/>
      <c r="C305" s="2"/>
      <c r="D305" s="2"/>
      <c r="E305" s="2"/>
      <c r="F305" s="2"/>
    </row>
    <row r="306">
      <c r="A306" s="2"/>
      <c r="B306" s="2"/>
      <c r="C306" s="2"/>
      <c r="D306" s="2"/>
      <c r="E306" s="2"/>
      <c r="F306" s="2"/>
    </row>
    <row r="307">
      <c r="A307" s="2"/>
      <c r="B307" s="2"/>
      <c r="C307" s="2"/>
      <c r="D307" s="2"/>
      <c r="E307" s="2"/>
      <c r="F307" s="2"/>
    </row>
    <row r="308">
      <c r="A308" s="2"/>
      <c r="B308" s="2"/>
      <c r="C308" s="2"/>
      <c r="D308" s="2"/>
      <c r="E308" s="2"/>
      <c r="F308" s="2"/>
    </row>
    <row r="309">
      <c r="A309" s="2"/>
      <c r="B309" s="2"/>
      <c r="C309" s="2"/>
      <c r="D309" s="2"/>
      <c r="E309" s="2"/>
      <c r="F309" s="2"/>
    </row>
    <row r="310">
      <c r="A310" s="2"/>
      <c r="B310" s="2"/>
      <c r="C310" s="2"/>
      <c r="D310" s="2"/>
      <c r="E310" s="2"/>
      <c r="F310" s="2"/>
    </row>
    <row r="311">
      <c r="A311" s="2"/>
      <c r="B311" s="2"/>
      <c r="C311" s="2"/>
      <c r="D311" s="2"/>
      <c r="E311" s="2"/>
      <c r="F311" s="2"/>
    </row>
    <row r="312">
      <c r="A312" s="2"/>
      <c r="B312" s="2"/>
      <c r="C312" s="2"/>
      <c r="D312" s="2"/>
      <c r="E312" s="2"/>
      <c r="F312" s="2"/>
    </row>
    <row r="313">
      <c r="A313" s="2"/>
      <c r="B313" s="2"/>
      <c r="C313" s="2"/>
      <c r="D313" s="2"/>
      <c r="E313" s="2"/>
      <c r="F313" s="2"/>
    </row>
    <row r="314">
      <c r="A314" s="2"/>
      <c r="B314" s="2"/>
      <c r="C314" s="2"/>
      <c r="D314" s="2"/>
      <c r="E314" s="2"/>
      <c r="F314" s="2"/>
    </row>
    <row r="315">
      <c r="A315" s="2"/>
      <c r="B315" s="2"/>
      <c r="C315" s="2"/>
      <c r="D315" s="2"/>
      <c r="E315" s="2"/>
      <c r="F315" s="2"/>
    </row>
    <row r="316">
      <c r="A316" s="2"/>
      <c r="B316" s="2"/>
      <c r="C316" s="2"/>
      <c r="D316" s="2"/>
      <c r="E316" s="2"/>
      <c r="F316" s="2"/>
    </row>
    <row r="317">
      <c r="A317" s="2"/>
      <c r="B317" s="2"/>
      <c r="C317" s="2"/>
      <c r="D317" s="2"/>
      <c r="E317" s="2"/>
      <c r="F317" s="2"/>
    </row>
    <row r="318">
      <c r="A318" s="2"/>
      <c r="B318" s="2"/>
      <c r="C318" s="2"/>
      <c r="D318" s="2"/>
      <c r="E318" s="2"/>
      <c r="F318" s="2"/>
    </row>
    <row r="319">
      <c r="A319" s="2"/>
      <c r="B319" s="2"/>
      <c r="C319" s="2"/>
      <c r="D319" s="2"/>
      <c r="E319" s="2"/>
      <c r="F319" s="2"/>
    </row>
    <row r="320">
      <c r="A320" s="2"/>
      <c r="B320" s="2"/>
      <c r="C320" s="2"/>
      <c r="D320" s="2"/>
      <c r="E320" s="2"/>
      <c r="F320" s="2"/>
    </row>
    <row r="321">
      <c r="A321" s="2"/>
      <c r="B321" s="2"/>
      <c r="C321" s="2"/>
      <c r="D321" s="2"/>
      <c r="E321" s="2"/>
      <c r="F321" s="2"/>
    </row>
    <row r="322">
      <c r="A322" s="2"/>
      <c r="B322" s="2"/>
      <c r="C322" s="2"/>
      <c r="D322" s="2"/>
      <c r="E322" s="2"/>
      <c r="F322" s="2"/>
    </row>
    <row r="323">
      <c r="A323" s="2"/>
      <c r="B323" s="2"/>
      <c r="C323" s="2"/>
      <c r="D323" s="2"/>
      <c r="E323" s="2"/>
      <c r="F323" s="2"/>
    </row>
    <row r="324">
      <c r="A324" s="2"/>
      <c r="B324" s="2"/>
      <c r="C324" s="2"/>
      <c r="D324" s="2"/>
      <c r="E324" s="2"/>
      <c r="F324" s="2"/>
    </row>
    <row r="325">
      <c r="A325" s="2"/>
      <c r="B325" s="2"/>
      <c r="C325" s="2"/>
      <c r="D325" s="2"/>
      <c r="E325" s="2"/>
      <c r="F325" s="2"/>
    </row>
    <row r="326">
      <c r="A326" s="2"/>
      <c r="B326" s="2"/>
      <c r="C326" s="2"/>
      <c r="D326" s="2"/>
      <c r="E326" s="2"/>
      <c r="F326" s="2"/>
    </row>
    <row r="327">
      <c r="A327" s="2"/>
      <c r="B327" s="2"/>
      <c r="C327" s="2"/>
      <c r="D327" s="2"/>
      <c r="E327" s="2"/>
      <c r="F327" s="2"/>
    </row>
    <row r="328">
      <c r="A328" s="2"/>
      <c r="B328" s="2"/>
      <c r="C328" s="2"/>
      <c r="D328" s="2"/>
      <c r="E328" s="2"/>
      <c r="F328" s="2"/>
    </row>
    <row r="329">
      <c r="A329" s="2"/>
      <c r="B329" s="2"/>
      <c r="C329" s="2"/>
      <c r="D329" s="2"/>
      <c r="E329" s="2"/>
      <c r="F329" s="2"/>
    </row>
    <row r="330">
      <c r="A330" s="2"/>
      <c r="B330" s="2"/>
      <c r="C330" s="2"/>
      <c r="D330" s="2"/>
      <c r="E330" s="2"/>
      <c r="F330" s="2"/>
    </row>
    <row r="331">
      <c r="A331" s="2"/>
      <c r="B331" s="2"/>
      <c r="C331" s="2"/>
      <c r="D331" s="2"/>
      <c r="E331" s="2"/>
      <c r="F331" s="2"/>
    </row>
    <row r="332">
      <c r="A332" s="2"/>
      <c r="B332" s="2"/>
      <c r="C332" s="2"/>
      <c r="D332" s="2"/>
      <c r="E332" s="2"/>
      <c r="F332" s="2"/>
    </row>
    <row r="333">
      <c r="A333" s="2"/>
      <c r="B333" s="2"/>
      <c r="C333" s="2"/>
      <c r="D333" s="2"/>
      <c r="E333" s="2"/>
      <c r="F333" s="2"/>
    </row>
    <row r="334">
      <c r="A334" s="2"/>
      <c r="B334" s="2"/>
      <c r="C334" s="2"/>
      <c r="D334" s="2"/>
      <c r="E334" s="2"/>
      <c r="F334" s="2"/>
    </row>
    <row r="335">
      <c r="A335" s="2"/>
      <c r="B335" s="2"/>
      <c r="C335" s="2"/>
      <c r="D335" s="2"/>
      <c r="E335" s="2"/>
      <c r="F335" s="2"/>
    </row>
    <row r="336">
      <c r="A336" s="2"/>
      <c r="B336" s="2"/>
      <c r="C336" s="2"/>
      <c r="D336" s="2"/>
      <c r="E336" s="2"/>
      <c r="F336" s="2"/>
    </row>
    <row r="337">
      <c r="A337" s="2"/>
      <c r="B337" s="2"/>
      <c r="C337" s="2"/>
      <c r="D337" s="2"/>
      <c r="E337" s="2"/>
      <c r="F337" s="2"/>
    </row>
    <row r="338">
      <c r="A338" s="2"/>
      <c r="B338" s="2"/>
      <c r="C338" s="2"/>
      <c r="D338" s="2"/>
      <c r="E338" s="2"/>
      <c r="F338" s="2"/>
    </row>
    <row r="339">
      <c r="A339" s="2"/>
      <c r="B339" s="2"/>
      <c r="C339" s="2"/>
      <c r="D339" s="2"/>
      <c r="E339" s="2"/>
      <c r="F339" s="2"/>
    </row>
    <row r="340">
      <c r="A340" s="2"/>
      <c r="B340" s="2"/>
      <c r="C340" s="2"/>
      <c r="D340" s="2"/>
      <c r="E340" s="2"/>
      <c r="F340" s="2"/>
    </row>
    <row r="341">
      <c r="A341" s="2"/>
      <c r="B341" s="2"/>
      <c r="C341" s="2"/>
      <c r="D341" s="2"/>
      <c r="E341" s="2"/>
      <c r="F341" s="2"/>
    </row>
    <row r="342">
      <c r="A342" s="2"/>
      <c r="B342" s="2"/>
      <c r="C342" s="2"/>
      <c r="D342" s="2"/>
      <c r="E342" s="2"/>
      <c r="F342" s="2"/>
    </row>
    <row r="343">
      <c r="A343" s="2"/>
      <c r="B343" s="2"/>
      <c r="C343" s="2"/>
      <c r="D343" s="2"/>
      <c r="E343" s="2"/>
      <c r="F343" s="2"/>
    </row>
    <row r="344">
      <c r="A344" s="2"/>
      <c r="B344" s="2"/>
      <c r="C344" s="2"/>
      <c r="D344" s="2"/>
      <c r="E344" s="2"/>
      <c r="F344" s="2"/>
    </row>
    <row r="345">
      <c r="A345" s="2"/>
      <c r="B345" s="2"/>
      <c r="C345" s="2"/>
      <c r="D345" s="2"/>
      <c r="E345" s="2"/>
      <c r="F345" s="2"/>
    </row>
    <row r="346">
      <c r="A346" s="2"/>
      <c r="B346" s="2"/>
      <c r="C346" s="2"/>
      <c r="D346" s="2"/>
      <c r="E346" s="2"/>
      <c r="F346" s="2"/>
    </row>
    <row r="347">
      <c r="A347" s="2"/>
      <c r="B347" s="2"/>
      <c r="C347" s="2"/>
      <c r="D347" s="2"/>
      <c r="E347" s="2"/>
      <c r="F347" s="2"/>
    </row>
    <row r="348">
      <c r="A348" s="2"/>
      <c r="B348" s="2"/>
      <c r="C348" s="2"/>
      <c r="D348" s="2"/>
      <c r="E348" s="2"/>
      <c r="F348" s="2"/>
    </row>
    <row r="349">
      <c r="A349" s="2"/>
      <c r="B349" s="2"/>
      <c r="C349" s="2"/>
      <c r="D349" s="2"/>
      <c r="E349" s="2"/>
      <c r="F349" s="2"/>
    </row>
    <row r="350">
      <c r="A350" s="2"/>
      <c r="B350" s="2"/>
      <c r="C350" s="2"/>
      <c r="D350" s="2"/>
      <c r="E350" s="2"/>
      <c r="F350" s="2"/>
    </row>
    <row r="351">
      <c r="A351" s="2"/>
      <c r="B351" s="2"/>
      <c r="C351" s="2"/>
      <c r="D351" s="2"/>
      <c r="E351" s="2"/>
      <c r="F351" s="2"/>
    </row>
    <row r="352">
      <c r="A352" s="2"/>
      <c r="B352" s="2"/>
      <c r="C352" s="2"/>
      <c r="D352" s="2"/>
      <c r="E352" s="2"/>
      <c r="F352" s="2"/>
    </row>
    <row r="353">
      <c r="A353" s="2"/>
      <c r="B353" s="2"/>
      <c r="C353" s="2"/>
      <c r="D353" s="2"/>
      <c r="E353" s="2"/>
      <c r="F353" s="2"/>
    </row>
    <row r="354">
      <c r="A354" s="2"/>
      <c r="B354" s="2"/>
      <c r="C354" s="2"/>
      <c r="D354" s="2"/>
      <c r="E354" s="2"/>
      <c r="F354" s="2"/>
    </row>
    <row r="355">
      <c r="A355" s="2"/>
      <c r="B355" s="2"/>
      <c r="C355" s="2"/>
      <c r="D355" s="2"/>
      <c r="E355" s="2"/>
      <c r="F355" s="2"/>
    </row>
    <row r="356">
      <c r="A356" s="2"/>
      <c r="B356" s="2"/>
      <c r="C356" s="2"/>
      <c r="D356" s="2"/>
      <c r="E356" s="2"/>
      <c r="F356" s="2"/>
    </row>
    <row r="357">
      <c r="A357" s="2"/>
      <c r="B357" s="2"/>
      <c r="C357" s="2"/>
      <c r="D357" s="2"/>
      <c r="E357" s="2"/>
      <c r="F357" s="2"/>
    </row>
    <row r="358">
      <c r="A358" s="2"/>
      <c r="B358" s="2"/>
      <c r="C358" s="2"/>
      <c r="D358" s="2"/>
      <c r="E358" s="2"/>
      <c r="F358" s="2"/>
    </row>
    <row r="359">
      <c r="A359" s="2"/>
      <c r="B359" s="2"/>
      <c r="C359" s="2"/>
      <c r="D359" s="2"/>
      <c r="E359" s="2"/>
      <c r="F359" s="2"/>
    </row>
    <row r="360">
      <c r="A360" s="2"/>
      <c r="B360" s="2"/>
      <c r="C360" s="2"/>
      <c r="D360" s="2"/>
      <c r="E360" s="2"/>
      <c r="F360" s="2"/>
    </row>
    <row r="361">
      <c r="A361" s="2"/>
      <c r="B361" s="2"/>
      <c r="C361" s="2"/>
      <c r="D361" s="2"/>
      <c r="E361" s="2"/>
      <c r="F361" s="2"/>
    </row>
    <row r="362">
      <c r="A362" s="2"/>
      <c r="B362" s="2"/>
      <c r="C362" s="2"/>
      <c r="D362" s="2"/>
      <c r="E362" s="2"/>
      <c r="F362" s="2"/>
    </row>
    <row r="363">
      <c r="A363" s="2"/>
      <c r="B363" s="2"/>
      <c r="C363" s="2"/>
      <c r="D363" s="2"/>
      <c r="E363" s="2"/>
      <c r="F363" s="2"/>
    </row>
    <row r="364">
      <c r="A364" s="2"/>
      <c r="B364" s="2"/>
      <c r="C364" s="2"/>
      <c r="D364" s="2"/>
      <c r="E364" s="2"/>
      <c r="F364" s="2"/>
    </row>
    <row r="365">
      <c r="A365" s="2"/>
      <c r="B365" s="2"/>
      <c r="C365" s="2"/>
      <c r="D365" s="2"/>
      <c r="E365" s="2"/>
      <c r="F365" s="2"/>
    </row>
    <row r="366">
      <c r="A366" s="2"/>
      <c r="B366" s="2"/>
      <c r="C366" s="2"/>
      <c r="D366" s="2"/>
      <c r="E366" s="2"/>
      <c r="F366" s="2"/>
    </row>
    <row r="367">
      <c r="A367" s="2"/>
      <c r="B367" s="2"/>
      <c r="C367" s="2"/>
      <c r="D367" s="2"/>
      <c r="E367" s="2"/>
      <c r="F367" s="2"/>
    </row>
    <row r="368">
      <c r="A368" s="2"/>
      <c r="B368" s="2"/>
      <c r="C368" s="2"/>
      <c r="D368" s="2"/>
      <c r="E368" s="2"/>
      <c r="F368" s="2"/>
    </row>
    <row r="369">
      <c r="A369" s="2"/>
      <c r="B369" s="2"/>
      <c r="C369" s="2"/>
      <c r="D369" s="2"/>
      <c r="E369" s="2"/>
      <c r="F369" s="2"/>
    </row>
    <row r="370">
      <c r="A370" s="2"/>
      <c r="B370" s="2"/>
      <c r="C370" s="2"/>
      <c r="D370" s="2"/>
      <c r="E370" s="2"/>
      <c r="F370" s="2"/>
    </row>
    <row r="371">
      <c r="A371" s="2"/>
      <c r="B371" s="2"/>
      <c r="C371" s="2"/>
      <c r="D371" s="2"/>
      <c r="E371" s="2"/>
      <c r="F371" s="2"/>
    </row>
    <row r="372">
      <c r="A372" s="2"/>
      <c r="B372" s="2"/>
      <c r="C372" s="2"/>
      <c r="D372" s="2"/>
      <c r="E372" s="2"/>
      <c r="F372" s="2"/>
    </row>
    <row r="373">
      <c r="A373" s="2"/>
      <c r="B373" s="2"/>
      <c r="C373" s="2"/>
      <c r="D373" s="2"/>
      <c r="E373" s="2"/>
      <c r="F373" s="2"/>
    </row>
    <row r="374">
      <c r="A374" s="2"/>
      <c r="B374" s="2"/>
      <c r="C374" s="2"/>
      <c r="D374" s="2"/>
      <c r="E374" s="2"/>
      <c r="F374" s="2"/>
    </row>
    <row r="375">
      <c r="A375" s="2"/>
      <c r="B375" s="2"/>
      <c r="C375" s="2"/>
      <c r="D375" s="2"/>
      <c r="E375" s="2"/>
      <c r="F375" s="2"/>
    </row>
    <row r="376">
      <c r="A376" s="2"/>
      <c r="B376" s="2"/>
      <c r="C376" s="2"/>
      <c r="D376" s="2"/>
      <c r="E376" s="2"/>
      <c r="F376" s="2"/>
    </row>
    <row r="377">
      <c r="A377" s="2"/>
      <c r="B377" s="2"/>
      <c r="C377" s="2"/>
      <c r="D377" s="2"/>
      <c r="E377" s="2"/>
      <c r="F377" s="2"/>
    </row>
    <row r="378">
      <c r="A378" s="2"/>
      <c r="B378" s="2"/>
      <c r="C378" s="2"/>
      <c r="D378" s="2"/>
      <c r="E378" s="2"/>
      <c r="F378" s="2"/>
    </row>
    <row r="379">
      <c r="A379" s="2"/>
      <c r="B379" s="2"/>
      <c r="C379" s="2"/>
      <c r="D379" s="2"/>
      <c r="E379" s="2"/>
      <c r="F379" s="2"/>
    </row>
    <row r="380">
      <c r="A380" s="2"/>
      <c r="B380" s="2"/>
      <c r="C380" s="2"/>
      <c r="D380" s="2"/>
      <c r="E380" s="2"/>
      <c r="F380" s="2"/>
    </row>
    <row r="381">
      <c r="A381" s="2"/>
      <c r="B381" s="2"/>
      <c r="C381" s="2"/>
      <c r="D381" s="2"/>
      <c r="E381" s="2"/>
      <c r="F381" s="2"/>
    </row>
    <row r="382">
      <c r="A382" s="2"/>
      <c r="B382" s="2"/>
      <c r="C382" s="2"/>
      <c r="D382" s="2"/>
      <c r="E382" s="2"/>
      <c r="F382" s="2"/>
    </row>
    <row r="383">
      <c r="A383" s="2"/>
      <c r="B383" s="2"/>
      <c r="C383" s="2"/>
      <c r="D383" s="2"/>
      <c r="E383" s="2"/>
      <c r="F383" s="2"/>
    </row>
    <row r="384">
      <c r="A384" s="2"/>
      <c r="B384" s="2"/>
      <c r="C384" s="2"/>
      <c r="D384" s="2"/>
      <c r="E384" s="2"/>
      <c r="F384" s="2"/>
    </row>
    <row r="385">
      <c r="A385" s="2"/>
      <c r="B385" s="2"/>
      <c r="C385" s="2"/>
      <c r="D385" s="2"/>
      <c r="E385" s="2"/>
      <c r="F385" s="2"/>
    </row>
    <row r="386">
      <c r="A386" s="2"/>
      <c r="B386" s="2"/>
      <c r="C386" s="2"/>
      <c r="D386" s="2"/>
      <c r="E386" s="2"/>
      <c r="F386" s="2"/>
    </row>
    <row r="387">
      <c r="A387" s="2"/>
      <c r="B387" s="2"/>
      <c r="C387" s="2"/>
      <c r="D387" s="2"/>
      <c r="E387" s="2"/>
      <c r="F387" s="2"/>
    </row>
    <row r="388">
      <c r="A388" s="2"/>
      <c r="B388" s="2"/>
      <c r="C388" s="2"/>
      <c r="D388" s="2"/>
      <c r="E388" s="2"/>
      <c r="F388" s="2"/>
    </row>
    <row r="389">
      <c r="A389" s="2"/>
      <c r="B389" s="2"/>
      <c r="C389" s="2"/>
      <c r="D389" s="2"/>
      <c r="E389" s="2"/>
      <c r="F389" s="2"/>
    </row>
    <row r="390">
      <c r="A390" s="2"/>
      <c r="B390" s="2"/>
      <c r="C390" s="2"/>
      <c r="D390" s="2"/>
      <c r="E390" s="2"/>
      <c r="F390" s="2"/>
    </row>
    <row r="391">
      <c r="A391" s="2"/>
      <c r="B391" s="2"/>
      <c r="C391" s="2"/>
      <c r="D391" s="2"/>
      <c r="E391" s="2"/>
      <c r="F391" s="2"/>
    </row>
    <row r="392">
      <c r="A392" s="2"/>
      <c r="B392" s="2"/>
      <c r="C392" s="2"/>
      <c r="D392" s="2"/>
      <c r="E392" s="2"/>
      <c r="F392" s="2"/>
    </row>
    <row r="393">
      <c r="A393" s="2"/>
      <c r="B393" s="2"/>
      <c r="C393" s="2"/>
      <c r="D393" s="2"/>
      <c r="E393" s="2"/>
      <c r="F393" s="2"/>
    </row>
    <row r="394">
      <c r="A394" s="2"/>
      <c r="B394" s="2"/>
      <c r="C394" s="2"/>
      <c r="D394" s="2"/>
      <c r="E394" s="2"/>
      <c r="F394" s="2"/>
    </row>
    <row r="395">
      <c r="A395" s="2"/>
      <c r="B395" s="2"/>
      <c r="C395" s="2"/>
      <c r="D395" s="2"/>
      <c r="E395" s="2"/>
      <c r="F395" s="2"/>
    </row>
    <row r="396">
      <c r="A396" s="2"/>
      <c r="B396" s="2"/>
      <c r="C396" s="2"/>
      <c r="D396" s="2"/>
      <c r="E396" s="2"/>
      <c r="F396" s="2"/>
    </row>
    <row r="397">
      <c r="A397" s="2"/>
      <c r="B397" s="2"/>
      <c r="C397" s="2"/>
      <c r="D397" s="2"/>
      <c r="E397" s="2"/>
      <c r="F397" s="2"/>
    </row>
    <row r="398">
      <c r="A398" s="2"/>
      <c r="B398" s="2"/>
      <c r="C398" s="2"/>
      <c r="D398" s="2"/>
      <c r="E398" s="2"/>
      <c r="F398" s="2"/>
    </row>
    <row r="399">
      <c r="A399" s="2"/>
      <c r="B399" s="2"/>
      <c r="C399" s="2"/>
      <c r="D399" s="2"/>
      <c r="E399" s="2"/>
      <c r="F399" s="2"/>
    </row>
    <row r="400">
      <c r="A400" s="2"/>
      <c r="B400" s="2"/>
      <c r="C400" s="2"/>
      <c r="D400" s="2"/>
      <c r="E400" s="2"/>
      <c r="F400" s="2"/>
    </row>
    <row r="401">
      <c r="A401" s="2"/>
      <c r="B401" s="2"/>
      <c r="C401" s="2"/>
      <c r="D401" s="2"/>
      <c r="E401" s="2"/>
      <c r="F401" s="2"/>
    </row>
    <row r="402">
      <c r="A402" s="2"/>
      <c r="B402" s="2"/>
      <c r="C402" s="2"/>
      <c r="D402" s="2"/>
      <c r="E402" s="2"/>
      <c r="F402" s="2"/>
    </row>
    <row r="403">
      <c r="A403" s="2"/>
      <c r="B403" s="2"/>
      <c r="C403" s="2"/>
      <c r="D403" s="2"/>
      <c r="E403" s="2"/>
      <c r="F403" s="2"/>
    </row>
    <row r="404">
      <c r="A404" s="2"/>
      <c r="B404" s="2"/>
      <c r="C404" s="2"/>
      <c r="D404" s="2"/>
      <c r="E404" s="2"/>
      <c r="F404" s="2"/>
    </row>
    <row r="405">
      <c r="A405" s="2"/>
      <c r="B405" s="2"/>
      <c r="C405" s="2"/>
      <c r="D405" s="2"/>
      <c r="E405" s="2"/>
      <c r="F405" s="2"/>
    </row>
    <row r="406">
      <c r="A406" s="2"/>
      <c r="B406" s="2"/>
      <c r="C406" s="2"/>
      <c r="D406" s="2"/>
      <c r="E406" s="2"/>
      <c r="F406" s="2"/>
    </row>
    <row r="407">
      <c r="A407" s="2"/>
      <c r="B407" s="2"/>
      <c r="C407" s="2"/>
      <c r="D407" s="2"/>
      <c r="E407" s="2"/>
      <c r="F407" s="2"/>
    </row>
    <row r="408">
      <c r="A408" s="2"/>
      <c r="B408" s="2"/>
      <c r="C408" s="2"/>
      <c r="D408" s="2"/>
      <c r="E408" s="2"/>
      <c r="F408" s="2"/>
    </row>
    <row r="409">
      <c r="A409" s="2"/>
      <c r="B409" s="2"/>
      <c r="C409" s="2"/>
      <c r="D409" s="2"/>
      <c r="E409" s="2"/>
      <c r="F409" s="2"/>
    </row>
    <row r="410">
      <c r="A410" s="2"/>
      <c r="B410" s="2"/>
      <c r="C410" s="2"/>
      <c r="D410" s="2"/>
      <c r="E410" s="2"/>
      <c r="F410" s="2"/>
    </row>
    <row r="411">
      <c r="A411" s="2"/>
      <c r="B411" s="2"/>
      <c r="C411" s="2"/>
      <c r="D411" s="2"/>
      <c r="E411" s="2"/>
      <c r="F411" s="2"/>
    </row>
    <row r="412">
      <c r="A412" s="2"/>
      <c r="B412" s="2"/>
      <c r="C412" s="2"/>
      <c r="D412" s="2"/>
      <c r="E412" s="2"/>
      <c r="F412" s="2"/>
    </row>
    <row r="413">
      <c r="A413" s="2"/>
      <c r="B413" s="2"/>
      <c r="C413" s="2"/>
      <c r="D413" s="2"/>
      <c r="E413" s="2"/>
      <c r="F413" s="2"/>
    </row>
    <row r="414">
      <c r="A414" s="2"/>
      <c r="B414" s="2"/>
      <c r="C414" s="2"/>
      <c r="D414" s="2"/>
      <c r="E414" s="2"/>
      <c r="F414" s="2"/>
    </row>
    <row r="415">
      <c r="A415" s="2"/>
      <c r="B415" s="2"/>
      <c r="C415" s="2"/>
      <c r="D415" s="2"/>
      <c r="E415" s="2"/>
      <c r="F415" s="2"/>
    </row>
    <row r="416">
      <c r="A416" s="2"/>
      <c r="B416" s="2"/>
      <c r="C416" s="2"/>
      <c r="D416" s="2"/>
      <c r="E416" s="2"/>
      <c r="F416" s="2"/>
    </row>
    <row r="417">
      <c r="A417" s="2"/>
      <c r="B417" s="2"/>
      <c r="C417" s="2"/>
      <c r="D417" s="2"/>
      <c r="E417" s="2"/>
      <c r="F417" s="2"/>
    </row>
    <row r="418">
      <c r="A418" s="2"/>
      <c r="B418" s="2"/>
      <c r="C418" s="2"/>
      <c r="D418" s="2"/>
      <c r="E418" s="2"/>
      <c r="F418" s="2"/>
    </row>
    <row r="419">
      <c r="A419" s="2"/>
      <c r="B419" s="2"/>
      <c r="C419" s="2"/>
      <c r="D419" s="2"/>
      <c r="E419" s="2"/>
      <c r="F419" s="2"/>
    </row>
    <row r="420">
      <c r="A420" s="2"/>
      <c r="B420" s="2"/>
      <c r="C420" s="2"/>
      <c r="D420" s="2"/>
      <c r="E420" s="2"/>
      <c r="F420" s="2"/>
    </row>
    <row r="421">
      <c r="A421" s="2"/>
      <c r="B421" s="2"/>
      <c r="C421" s="2"/>
      <c r="D421" s="2"/>
      <c r="E421" s="2"/>
      <c r="F421" s="2"/>
    </row>
    <row r="422">
      <c r="A422" s="2"/>
      <c r="B422" s="2"/>
      <c r="C422" s="2"/>
      <c r="D422" s="2"/>
      <c r="E422" s="2"/>
      <c r="F422" s="2"/>
    </row>
    <row r="423">
      <c r="A423" s="2"/>
      <c r="B423" s="2"/>
      <c r="C423" s="2"/>
      <c r="D423" s="2"/>
      <c r="E423" s="2"/>
      <c r="F423" s="2"/>
    </row>
    <row r="424">
      <c r="A424" s="2"/>
      <c r="B424" s="2"/>
      <c r="C424" s="2"/>
      <c r="D424" s="2"/>
      <c r="E424" s="2"/>
      <c r="F424" s="2"/>
    </row>
    <row r="425">
      <c r="A425" s="2"/>
      <c r="B425" s="2"/>
      <c r="C425" s="2"/>
      <c r="D425" s="2"/>
      <c r="E425" s="2"/>
      <c r="F425" s="2"/>
    </row>
    <row r="426">
      <c r="A426" s="2"/>
      <c r="B426" s="2"/>
      <c r="C426" s="2"/>
      <c r="D426" s="2"/>
      <c r="E426" s="2"/>
      <c r="F426" s="2"/>
    </row>
    <row r="427">
      <c r="A427" s="2"/>
      <c r="B427" s="2"/>
      <c r="C427" s="2"/>
      <c r="D427" s="2"/>
      <c r="E427" s="2"/>
      <c r="F427" s="2"/>
    </row>
    <row r="428">
      <c r="A428" s="2"/>
      <c r="B428" s="2"/>
      <c r="C428" s="2"/>
      <c r="D428" s="2"/>
      <c r="E428" s="2"/>
      <c r="F428" s="2"/>
    </row>
    <row r="429">
      <c r="A429" s="2"/>
      <c r="B429" s="2"/>
      <c r="C429" s="2"/>
      <c r="D429" s="2"/>
      <c r="E429" s="2"/>
      <c r="F429" s="2"/>
    </row>
    <row r="430">
      <c r="A430" s="2"/>
      <c r="B430" s="2"/>
      <c r="C430" s="2"/>
      <c r="D430" s="2"/>
      <c r="E430" s="2"/>
      <c r="F430" s="2"/>
    </row>
    <row r="431">
      <c r="A431" s="2"/>
      <c r="B431" s="2"/>
      <c r="C431" s="2"/>
      <c r="D431" s="2"/>
      <c r="E431" s="2"/>
      <c r="F431" s="2"/>
    </row>
    <row r="432">
      <c r="A432" s="2"/>
      <c r="B432" s="2"/>
      <c r="C432" s="2"/>
      <c r="D432" s="2"/>
      <c r="E432" s="2"/>
      <c r="F432" s="2"/>
    </row>
    <row r="433">
      <c r="A433" s="2"/>
      <c r="B433" s="2"/>
      <c r="C433" s="2"/>
      <c r="D433" s="2"/>
      <c r="E433" s="2"/>
      <c r="F433" s="2"/>
    </row>
    <row r="434">
      <c r="A434" s="2"/>
      <c r="B434" s="2"/>
      <c r="C434" s="2"/>
      <c r="D434" s="2"/>
      <c r="E434" s="2"/>
      <c r="F434" s="2"/>
    </row>
    <row r="435">
      <c r="A435" s="2"/>
      <c r="B435" s="2"/>
      <c r="C435" s="2"/>
      <c r="D435" s="2"/>
      <c r="E435" s="2"/>
      <c r="F435" s="2"/>
    </row>
    <row r="436">
      <c r="A436" s="2"/>
      <c r="B436" s="2"/>
      <c r="C436" s="2"/>
      <c r="D436" s="2"/>
      <c r="E436" s="2"/>
      <c r="F436" s="2"/>
    </row>
    <row r="437">
      <c r="A437" s="2"/>
      <c r="B437" s="2"/>
      <c r="C437" s="2"/>
      <c r="D437" s="2"/>
      <c r="E437" s="2"/>
      <c r="F437" s="2"/>
    </row>
    <row r="438">
      <c r="A438" s="2"/>
      <c r="B438" s="2"/>
      <c r="C438" s="2"/>
      <c r="D438" s="2"/>
      <c r="E438" s="2"/>
      <c r="F438" s="2"/>
    </row>
    <row r="439">
      <c r="A439" s="2"/>
      <c r="B439" s="2"/>
      <c r="C439" s="2"/>
      <c r="D439" s="2"/>
      <c r="E439" s="2"/>
      <c r="F439" s="2"/>
    </row>
    <row r="440">
      <c r="A440" s="2"/>
      <c r="B440" s="2"/>
      <c r="C440" s="2"/>
      <c r="D440" s="2"/>
      <c r="E440" s="2"/>
      <c r="F440" s="2"/>
    </row>
    <row r="441">
      <c r="A441" s="2"/>
      <c r="B441" s="2"/>
      <c r="C441" s="2"/>
      <c r="D441" s="2"/>
      <c r="E441" s="2"/>
      <c r="F441" s="2"/>
    </row>
    <row r="442">
      <c r="A442" s="2"/>
      <c r="B442" s="2"/>
      <c r="C442" s="2"/>
      <c r="D442" s="2"/>
      <c r="E442" s="2"/>
      <c r="F442" s="2"/>
    </row>
    <row r="443">
      <c r="A443" s="2"/>
      <c r="B443" s="2"/>
      <c r="C443" s="2"/>
      <c r="D443" s="2"/>
      <c r="E443" s="2"/>
      <c r="F443" s="2"/>
    </row>
    <row r="444">
      <c r="A444" s="2"/>
      <c r="B444" s="2"/>
      <c r="C444" s="2"/>
      <c r="D444" s="2"/>
      <c r="E444" s="2"/>
      <c r="F444" s="2"/>
    </row>
    <row r="445">
      <c r="A445" s="2"/>
      <c r="B445" s="2"/>
      <c r="C445" s="2"/>
      <c r="D445" s="2"/>
      <c r="E445" s="2"/>
      <c r="F445" s="2"/>
    </row>
    <row r="446">
      <c r="A446" s="2"/>
      <c r="B446" s="2"/>
      <c r="C446" s="2"/>
      <c r="D446" s="2"/>
      <c r="E446" s="2"/>
      <c r="F446" s="2"/>
    </row>
    <row r="447">
      <c r="A447" s="2"/>
      <c r="B447" s="2"/>
      <c r="C447" s="2"/>
      <c r="D447" s="2"/>
      <c r="E447" s="2"/>
      <c r="F447" s="2"/>
    </row>
    <row r="448">
      <c r="A448" s="2"/>
      <c r="B448" s="2"/>
      <c r="C448" s="2"/>
      <c r="D448" s="2"/>
      <c r="E448" s="2"/>
      <c r="F448" s="2"/>
    </row>
    <row r="449">
      <c r="A449" s="2"/>
      <c r="B449" s="2"/>
      <c r="C449" s="2"/>
      <c r="D449" s="2"/>
      <c r="E449" s="2"/>
      <c r="F449" s="2"/>
    </row>
    <row r="450">
      <c r="A450" s="2"/>
      <c r="B450" s="2"/>
      <c r="C450" s="2"/>
      <c r="D450" s="2"/>
      <c r="E450" s="2"/>
      <c r="F450" s="2"/>
    </row>
    <row r="451">
      <c r="A451" s="2"/>
      <c r="B451" s="2"/>
      <c r="C451" s="2"/>
      <c r="D451" s="2"/>
      <c r="E451" s="2"/>
      <c r="F451" s="2"/>
    </row>
    <row r="452">
      <c r="A452" s="2"/>
      <c r="B452" s="2"/>
      <c r="C452" s="2"/>
      <c r="D452" s="2"/>
      <c r="E452" s="2"/>
      <c r="F452" s="2"/>
    </row>
    <row r="453">
      <c r="A453" s="2"/>
      <c r="B453" s="2"/>
      <c r="C453" s="2"/>
      <c r="D453" s="2"/>
      <c r="E453" s="2"/>
      <c r="F453" s="2"/>
    </row>
    <row r="454">
      <c r="A454" s="2"/>
      <c r="B454" s="2"/>
      <c r="C454" s="2"/>
      <c r="D454" s="2"/>
      <c r="E454" s="2"/>
      <c r="F454" s="2"/>
    </row>
    <row r="455">
      <c r="A455" s="2"/>
      <c r="B455" s="2"/>
      <c r="C455" s="2"/>
      <c r="D455" s="2"/>
      <c r="E455" s="2"/>
      <c r="F455" s="2"/>
    </row>
    <row r="456">
      <c r="A456" s="2"/>
      <c r="B456" s="2"/>
      <c r="C456" s="2"/>
      <c r="D456" s="2"/>
      <c r="E456" s="2"/>
      <c r="F456" s="2"/>
    </row>
    <row r="457">
      <c r="A457" s="2"/>
      <c r="B457" s="2"/>
      <c r="C457" s="2"/>
      <c r="D457" s="2"/>
      <c r="E457" s="2"/>
      <c r="F457" s="2"/>
    </row>
    <row r="458">
      <c r="A458" s="2"/>
      <c r="B458" s="2"/>
      <c r="C458" s="2"/>
      <c r="D458" s="2"/>
      <c r="E458" s="2"/>
      <c r="F458" s="2"/>
    </row>
    <row r="459">
      <c r="A459" s="2"/>
      <c r="B459" s="2"/>
      <c r="C459" s="2"/>
      <c r="D459" s="2"/>
      <c r="E459" s="2"/>
      <c r="F459" s="2"/>
    </row>
    <row r="460">
      <c r="A460" s="2"/>
      <c r="B460" s="2"/>
      <c r="C460" s="2"/>
      <c r="D460" s="2"/>
      <c r="E460" s="2"/>
      <c r="F460" s="2"/>
    </row>
    <row r="461">
      <c r="A461" s="2"/>
      <c r="B461" s="2"/>
      <c r="C461" s="2"/>
      <c r="D461" s="2"/>
      <c r="E461" s="2"/>
      <c r="F461" s="2"/>
    </row>
    <row r="462">
      <c r="A462" s="2"/>
      <c r="B462" s="2"/>
      <c r="C462" s="2"/>
      <c r="D462" s="2"/>
      <c r="E462" s="2"/>
      <c r="F462" s="2"/>
    </row>
    <row r="463">
      <c r="A463" s="2"/>
      <c r="B463" s="2"/>
      <c r="C463" s="2"/>
      <c r="D463" s="2"/>
      <c r="E463" s="2"/>
      <c r="F463" s="2"/>
    </row>
    <row r="464">
      <c r="A464" s="2"/>
      <c r="B464" s="2"/>
      <c r="C464" s="2"/>
      <c r="D464" s="2"/>
      <c r="E464" s="2"/>
      <c r="F464" s="2"/>
    </row>
    <row r="465">
      <c r="A465" s="2"/>
      <c r="B465" s="2"/>
      <c r="C465" s="2"/>
      <c r="D465" s="2"/>
      <c r="E465" s="2"/>
      <c r="F465" s="2"/>
    </row>
    <row r="466">
      <c r="A466" s="2"/>
      <c r="B466" s="2"/>
      <c r="C466" s="2"/>
      <c r="D466" s="2"/>
      <c r="E466" s="2"/>
      <c r="F466" s="2"/>
    </row>
    <row r="467">
      <c r="A467" s="2"/>
      <c r="B467" s="2"/>
      <c r="C467" s="2"/>
      <c r="D467" s="2"/>
      <c r="E467" s="2"/>
      <c r="F467" s="2"/>
    </row>
    <row r="468">
      <c r="A468" s="2"/>
      <c r="B468" s="2"/>
      <c r="C468" s="2"/>
      <c r="D468" s="2"/>
      <c r="E468" s="2"/>
      <c r="F468" s="2"/>
    </row>
    <row r="469">
      <c r="A469" s="2"/>
      <c r="B469" s="2"/>
      <c r="C469" s="2"/>
      <c r="D469" s="2"/>
      <c r="E469" s="2"/>
      <c r="F469" s="2"/>
    </row>
    <row r="470">
      <c r="A470" s="2"/>
      <c r="B470" s="2"/>
      <c r="C470" s="2"/>
      <c r="D470" s="2"/>
      <c r="E470" s="2"/>
      <c r="F470" s="2"/>
    </row>
    <row r="471">
      <c r="A471" s="2"/>
      <c r="B471" s="2"/>
      <c r="C471" s="2"/>
      <c r="D471" s="2"/>
      <c r="E471" s="2"/>
      <c r="F471" s="2"/>
    </row>
    <row r="472">
      <c r="A472" s="2"/>
      <c r="B472" s="2"/>
      <c r="C472" s="2"/>
      <c r="D472" s="2"/>
      <c r="E472" s="2"/>
      <c r="F472" s="2"/>
    </row>
    <row r="473">
      <c r="A473" s="2"/>
      <c r="B473" s="2"/>
      <c r="C473" s="2"/>
      <c r="D473" s="2"/>
      <c r="E473" s="2"/>
      <c r="F473" s="2"/>
    </row>
    <row r="474">
      <c r="A474" s="2"/>
      <c r="B474" s="2"/>
      <c r="C474" s="2"/>
      <c r="D474" s="2"/>
      <c r="E474" s="2"/>
      <c r="F474" s="2"/>
    </row>
    <row r="475">
      <c r="A475" s="2"/>
      <c r="B475" s="2"/>
      <c r="C475" s="2"/>
      <c r="D475" s="2"/>
      <c r="E475" s="2"/>
      <c r="F475" s="2"/>
    </row>
    <row r="476">
      <c r="A476" s="2"/>
      <c r="B476" s="2"/>
      <c r="C476" s="2"/>
      <c r="D476" s="2"/>
      <c r="E476" s="2"/>
      <c r="F476" s="2"/>
    </row>
    <row r="477">
      <c r="A477" s="2"/>
      <c r="B477" s="2"/>
      <c r="C477" s="2"/>
      <c r="D477" s="2"/>
      <c r="E477" s="2"/>
      <c r="F477" s="2"/>
    </row>
    <row r="478">
      <c r="A478" s="2"/>
      <c r="B478" s="2"/>
      <c r="C478" s="2"/>
      <c r="D478" s="2"/>
      <c r="E478" s="2"/>
      <c r="F478" s="2"/>
    </row>
    <row r="479">
      <c r="A479" s="2"/>
      <c r="B479" s="2"/>
      <c r="C479" s="2"/>
      <c r="D479" s="2"/>
      <c r="E479" s="2"/>
      <c r="F479" s="2"/>
    </row>
    <row r="480">
      <c r="A480" s="2"/>
      <c r="B480" s="2"/>
      <c r="C480" s="2"/>
      <c r="D480" s="2"/>
      <c r="E480" s="2"/>
      <c r="F480" s="2"/>
    </row>
    <row r="481">
      <c r="A481" s="2"/>
      <c r="B481" s="2"/>
      <c r="C481" s="2"/>
      <c r="D481" s="2"/>
      <c r="E481" s="2"/>
      <c r="F481" s="2"/>
    </row>
    <row r="482">
      <c r="A482" s="2"/>
      <c r="B482" s="2"/>
      <c r="C482" s="2"/>
      <c r="D482" s="2"/>
      <c r="E482" s="2"/>
      <c r="F482" s="2"/>
    </row>
    <row r="483">
      <c r="A483" s="2"/>
      <c r="B483" s="2"/>
      <c r="C483" s="2"/>
      <c r="D483" s="2"/>
      <c r="E483" s="2"/>
      <c r="F483" s="2"/>
    </row>
    <row r="484">
      <c r="A484" s="2"/>
      <c r="B484" s="2"/>
      <c r="C484" s="2"/>
      <c r="D484" s="2"/>
      <c r="E484" s="2"/>
      <c r="F484" s="2"/>
    </row>
    <row r="485">
      <c r="A485" s="2"/>
      <c r="B485" s="2"/>
      <c r="C485" s="2"/>
      <c r="D485" s="2"/>
      <c r="E485" s="2"/>
      <c r="F485" s="2"/>
    </row>
    <row r="486">
      <c r="A486" s="2"/>
      <c r="B486" s="2"/>
      <c r="C486" s="2"/>
      <c r="D486" s="2"/>
      <c r="E486" s="2"/>
      <c r="F486" s="2"/>
    </row>
    <row r="487">
      <c r="A487" s="2"/>
      <c r="B487" s="2"/>
      <c r="C487" s="2"/>
      <c r="D487" s="2"/>
      <c r="E487" s="2"/>
      <c r="F487" s="2"/>
    </row>
    <row r="488">
      <c r="A488" s="2"/>
      <c r="B488" s="2"/>
      <c r="C488" s="2"/>
      <c r="D488" s="2"/>
      <c r="E488" s="2"/>
      <c r="F488" s="2"/>
    </row>
    <row r="489">
      <c r="A489" s="2"/>
      <c r="B489" s="2"/>
      <c r="C489" s="2"/>
      <c r="D489" s="2"/>
      <c r="E489" s="2"/>
      <c r="F489" s="2"/>
    </row>
    <row r="490">
      <c r="A490" s="2"/>
      <c r="B490" s="2"/>
      <c r="C490" s="2"/>
      <c r="D490" s="2"/>
      <c r="E490" s="2"/>
      <c r="F490" s="2"/>
    </row>
    <row r="491">
      <c r="A491" s="2"/>
      <c r="B491" s="2"/>
      <c r="C491" s="2"/>
      <c r="D491" s="2"/>
      <c r="E491" s="2"/>
      <c r="F491" s="2"/>
    </row>
    <row r="492">
      <c r="A492" s="2"/>
      <c r="B492" s="2"/>
      <c r="C492" s="2"/>
      <c r="D492" s="2"/>
      <c r="E492" s="2"/>
      <c r="F492" s="2"/>
    </row>
    <row r="493">
      <c r="A493" s="2"/>
      <c r="B493" s="2"/>
      <c r="C493" s="2"/>
      <c r="D493" s="2"/>
      <c r="E493" s="2"/>
      <c r="F493" s="2"/>
    </row>
    <row r="494">
      <c r="A494" s="2"/>
      <c r="B494" s="2"/>
      <c r="C494" s="2"/>
      <c r="D494" s="2"/>
      <c r="E494" s="2"/>
      <c r="F494" s="2"/>
    </row>
    <row r="495">
      <c r="A495" s="2"/>
      <c r="B495" s="2"/>
      <c r="C495" s="2"/>
      <c r="D495" s="2"/>
      <c r="E495" s="2"/>
      <c r="F495" s="2"/>
    </row>
    <row r="496">
      <c r="A496" s="2"/>
      <c r="B496" s="2"/>
      <c r="C496" s="2"/>
      <c r="D496" s="2"/>
      <c r="E496" s="2"/>
      <c r="F496" s="2"/>
    </row>
    <row r="497">
      <c r="A497" s="2"/>
      <c r="B497" s="2"/>
      <c r="C497" s="2"/>
      <c r="D497" s="2"/>
      <c r="E497" s="2"/>
      <c r="F497" s="2"/>
    </row>
    <row r="498">
      <c r="A498" s="2"/>
      <c r="B498" s="2"/>
      <c r="C498" s="2"/>
      <c r="D498" s="2"/>
      <c r="E498" s="2"/>
      <c r="F498" s="2"/>
    </row>
    <row r="499">
      <c r="A499" s="2"/>
      <c r="B499" s="2"/>
      <c r="C499" s="2"/>
      <c r="D499" s="2"/>
      <c r="E499" s="2"/>
      <c r="F499" s="2"/>
    </row>
    <row r="500">
      <c r="A500" s="2"/>
      <c r="B500" s="2"/>
      <c r="C500" s="2"/>
      <c r="D500" s="2"/>
      <c r="E500" s="2"/>
      <c r="F500" s="2"/>
    </row>
    <row r="501">
      <c r="A501" s="2"/>
      <c r="B501" s="2"/>
      <c r="C501" s="2"/>
      <c r="D501" s="2"/>
      <c r="E501" s="2"/>
      <c r="F501" s="2"/>
    </row>
    <row r="502">
      <c r="A502" s="2"/>
      <c r="B502" s="2"/>
      <c r="C502" s="2"/>
      <c r="D502" s="2"/>
      <c r="E502" s="2"/>
      <c r="F502" s="2"/>
    </row>
    <row r="503">
      <c r="A503" s="2"/>
      <c r="B503" s="2"/>
      <c r="C503" s="2"/>
      <c r="D503" s="2"/>
      <c r="E503" s="2"/>
      <c r="F503" s="2"/>
    </row>
    <row r="504">
      <c r="A504" s="2"/>
      <c r="B504" s="2"/>
      <c r="C504" s="2"/>
      <c r="D504" s="2"/>
      <c r="E504" s="2"/>
      <c r="F504" s="2"/>
    </row>
    <row r="505">
      <c r="A505" s="2"/>
      <c r="B505" s="2"/>
      <c r="C505" s="2"/>
      <c r="D505" s="2"/>
      <c r="E505" s="2"/>
      <c r="F505" s="2"/>
    </row>
    <row r="506">
      <c r="A506" s="2"/>
      <c r="B506" s="2"/>
      <c r="C506" s="2"/>
      <c r="D506" s="2"/>
      <c r="E506" s="2"/>
      <c r="F506" s="2"/>
    </row>
    <row r="507">
      <c r="A507" s="2"/>
      <c r="B507" s="2"/>
      <c r="C507" s="2"/>
      <c r="D507" s="2"/>
      <c r="E507" s="2"/>
      <c r="F507" s="2"/>
    </row>
    <row r="508">
      <c r="A508" s="2"/>
      <c r="B508" s="2"/>
      <c r="C508" s="2"/>
      <c r="D508" s="2"/>
      <c r="E508" s="2"/>
      <c r="F508" s="2"/>
    </row>
    <row r="509">
      <c r="A509" s="2"/>
      <c r="B509" s="2"/>
      <c r="C509" s="2"/>
      <c r="D509" s="2"/>
      <c r="E509" s="2"/>
      <c r="F509" s="2"/>
    </row>
    <row r="510">
      <c r="A510" s="2"/>
      <c r="B510" s="2"/>
      <c r="C510" s="2"/>
      <c r="D510" s="2"/>
      <c r="E510" s="2"/>
      <c r="F510" s="2"/>
    </row>
    <row r="511">
      <c r="A511" s="2"/>
      <c r="B511" s="2"/>
      <c r="C511" s="2"/>
      <c r="D511" s="2"/>
      <c r="E511" s="2"/>
      <c r="F511" s="2"/>
    </row>
    <row r="512">
      <c r="A512" s="2"/>
      <c r="B512" s="2"/>
      <c r="C512" s="2"/>
      <c r="D512" s="2"/>
      <c r="E512" s="2"/>
      <c r="F512" s="2"/>
    </row>
    <row r="513">
      <c r="A513" s="2"/>
      <c r="B513" s="2"/>
      <c r="C513" s="2"/>
      <c r="D513" s="2"/>
      <c r="E513" s="2"/>
      <c r="F513" s="2"/>
    </row>
    <row r="514">
      <c r="A514" s="2"/>
      <c r="B514" s="2"/>
      <c r="C514" s="2"/>
      <c r="D514" s="2"/>
      <c r="E514" s="2"/>
      <c r="F514" s="2"/>
    </row>
    <row r="515">
      <c r="A515" s="2"/>
      <c r="B515" s="2"/>
      <c r="C515" s="2"/>
      <c r="D515" s="2"/>
      <c r="E515" s="2"/>
      <c r="F515" s="2"/>
    </row>
    <row r="516">
      <c r="A516" s="2"/>
      <c r="B516" s="2"/>
      <c r="C516" s="2"/>
      <c r="D516" s="2"/>
      <c r="E516" s="2"/>
      <c r="F516" s="2"/>
    </row>
    <row r="517">
      <c r="A517" s="2"/>
      <c r="B517" s="2"/>
      <c r="C517" s="2"/>
      <c r="D517" s="2"/>
      <c r="E517" s="2"/>
      <c r="F517" s="2"/>
    </row>
    <row r="518">
      <c r="A518" s="2"/>
      <c r="B518" s="2"/>
      <c r="C518" s="2"/>
      <c r="D518" s="2"/>
      <c r="E518" s="2"/>
      <c r="F518" s="2"/>
    </row>
    <row r="519">
      <c r="A519" s="2"/>
      <c r="B519" s="2"/>
      <c r="C519" s="2"/>
      <c r="D519" s="2"/>
      <c r="E519" s="2"/>
      <c r="F519" s="2"/>
    </row>
    <row r="520">
      <c r="A520" s="2"/>
      <c r="B520" s="2"/>
      <c r="C520" s="2"/>
      <c r="D520" s="2"/>
      <c r="E520" s="2"/>
      <c r="F520" s="2"/>
    </row>
    <row r="521">
      <c r="A521" s="2"/>
      <c r="B521" s="2"/>
      <c r="C521" s="2"/>
      <c r="D521" s="2"/>
      <c r="E521" s="2"/>
      <c r="F521" s="2"/>
    </row>
    <row r="522">
      <c r="A522" s="2"/>
      <c r="B522" s="2"/>
      <c r="C522" s="2"/>
      <c r="D522" s="2"/>
      <c r="E522" s="2"/>
      <c r="F522" s="2"/>
    </row>
    <row r="523">
      <c r="A523" s="2"/>
      <c r="B523" s="2"/>
      <c r="C523" s="2"/>
      <c r="D523" s="2"/>
      <c r="E523" s="2"/>
      <c r="F523" s="2"/>
    </row>
    <row r="524">
      <c r="A524" s="2"/>
      <c r="B524" s="2"/>
      <c r="C524" s="2"/>
      <c r="D524" s="2"/>
      <c r="E524" s="2"/>
      <c r="F524" s="2"/>
    </row>
    <row r="525">
      <c r="A525" s="2"/>
      <c r="B525" s="2"/>
      <c r="C525" s="2"/>
      <c r="D525" s="2"/>
      <c r="E525" s="2"/>
      <c r="F525" s="2"/>
    </row>
    <row r="526">
      <c r="A526" s="2"/>
      <c r="B526" s="2"/>
      <c r="C526" s="2"/>
      <c r="D526" s="2"/>
      <c r="E526" s="2"/>
      <c r="F526" s="2"/>
    </row>
    <row r="527">
      <c r="A527" s="2"/>
      <c r="B527" s="2"/>
      <c r="C527" s="2"/>
      <c r="D527" s="2"/>
      <c r="E527" s="2"/>
      <c r="F527" s="2"/>
    </row>
    <row r="528">
      <c r="A528" s="2"/>
      <c r="B528" s="2"/>
      <c r="C528" s="2"/>
      <c r="D528" s="2"/>
      <c r="E528" s="2"/>
      <c r="F528" s="2"/>
    </row>
    <row r="529">
      <c r="A529" s="2"/>
      <c r="B529" s="2"/>
      <c r="C529" s="2"/>
      <c r="D529" s="2"/>
      <c r="E529" s="2"/>
      <c r="F529" s="2"/>
    </row>
    <row r="530">
      <c r="A530" s="2"/>
      <c r="B530" s="2"/>
      <c r="C530" s="2"/>
      <c r="D530" s="2"/>
      <c r="E530" s="2"/>
      <c r="F530" s="2"/>
    </row>
    <row r="531">
      <c r="A531" s="2"/>
      <c r="B531" s="2"/>
      <c r="C531" s="2"/>
      <c r="D531" s="2"/>
      <c r="E531" s="2"/>
      <c r="F531" s="2"/>
    </row>
    <row r="532">
      <c r="A532" s="2"/>
      <c r="B532" s="2"/>
      <c r="C532" s="2"/>
      <c r="D532" s="2"/>
      <c r="E532" s="2"/>
      <c r="F532" s="2"/>
    </row>
    <row r="533">
      <c r="A533" s="2"/>
      <c r="B533" s="2"/>
      <c r="C533" s="2"/>
      <c r="D533" s="2"/>
      <c r="E533" s="2"/>
      <c r="F533" s="2"/>
    </row>
    <row r="534">
      <c r="A534" s="2"/>
      <c r="B534" s="2"/>
      <c r="C534" s="2"/>
      <c r="D534" s="2"/>
      <c r="E534" s="2"/>
      <c r="F534" s="2"/>
    </row>
    <row r="535">
      <c r="A535" s="2"/>
      <c r="B535" s="2"/>
      <c r="C535" s="2"/>
      <c r="D535" s="2"/>
      <c r="E535" s="2"/>
      <c r="F535" s="2"/>
    </row>
    <row r="536">
      <c r="A536" s="2"/>
      <c r="B536" s="2"/>
      <c r="C536" s="2"/>
      <c r="D536" s="2"/>
      <c r="E536" s="2"/>
      <c r="F536" s="2"/>
    </row>
    <row r="537">
      <c r="A537" s="2"/>
      <c r="B537" s="2"/>
      <c r="C537" s="2"/>
      <c r="D537" s="2"/>
      <c r="E537" s="2"/>
      <c r="F537" s="2"/>
    </row>
    <row r="538">
      <c r="A538" s="2"/>
      <c r="B538" s="2"/>
      <c r="C538" s="2"/>
      <c r="D538" s="2"/>
      <c r="E538" s="2"/>
      <c r="F538" s="2"/>
    </row>
    <row r="539">
      <c r="A539" s="2"/>
      <c r="B539" s="2"/>
      <c r="C539" s="2"/>
      <c r="D539" s="2"/>
      <c r="E539" s="2"/>
      <c r="F539" s="2"/>
    </row>
    <row r="540">
      <c r="A540" s="2"/>
      <c r="B540" s="2"/>
      <c r="C540" s="2"/>
      <c r="D540" s="2"/>
      <c r="E540" s="2"/>
      <c r="F540" s="2"/>
    </row>
    <row r="541">
      <c r="A541" s="2"/>
      <c r="B541" s="2"/>
      <c r="C541" s="2"/>
      <c r="D541" s="2"/>
      <c r="E541" s="2"/>
      <c r="F541" s="2"/>
    </row>
    <row r="542">
      <c r="A542" s="2"/>
      <c r="B542" s="2"/>
      <c r="C542" s="2"/>
      <c r="D542" s="2"/>
      <c r="E542" s="2"/>
      <c r="F542" s="2"/>
    </row>
    <row r="543">
      <c r="A543" s="2"/>
      <c r="B543" s="2"/>
      <c r="C543" s="2"/>
      <c r="D543" s="2"/>
      <c r="E543" s="2"/>
      <c r="F543" s="2"/>
    </row>
    <row r="544">
      <c r="A544" s="2"/>
      <c r="B544" s="2"/>
      <c r="C544" s="2"/>
      <c r="D544" s="2"/>
      <c r="E544" s="2"/>
      <c r="F544" s="2"/>
    </row>
    <row r="545">
      <c r="A545" s="2"/>
      <c r="B545" s="2"/>
      <c r="C545" s="2"/>
      <c r="D545" s="2"/>
      <c r="E545" s="2"/>
      <c r="F545" s="2"/>
    </row>
    <row r="546">
      <c r="A546" s="2"/>
      <c r="B546" s="2"/>
      <c r="C546" s="2"/>
      <c r="D546" s="2"/>
      <c r="E546" s="2"/>
      <c r="F546" s="2"/>
    </row>
    <row r="547">
      <c r="A547" s="2"/>
      <c r="B547" s="2"/>
      <c r="C547" s="2"/>
      <c r="D547" s="2"/>
      <c r="E547" s="2"/>
      <c r="F547" s="2"/>
    </row>
    <row r="548">
      <c r="A548" s="2"/>
      <c r="B548" s="2"/>
      <c r="C548" s="2"/>
      <c r="D548" s="2"/>
      <c r="E548" s="2"/>
      <c r="F548" s="2"/>
    </row>
    <row r="549">
      <c r="A549" s="2"/>
      <c r="B549" s="2"/>
      <c r="C549" s="2"/>
      <c r="D549" s="2"/>
      <c r="E549" s="2"/>
      <c r="F549" s="2"/>
    </row>
    <row r="550">
      <c r="A550" s="2"/>
      <c r="B550" s="2"/>
      <c r="C550" s="2"/>
      <c r="D550" s="2"/>
      <c r="E550" s="2"/>
      <c r="F550" s="2"/>
    </row>
    <row r="551">
      <c r="A551" s="2"/>
      <c r="B551" s="2"/>
      <c r="C551" s="2"/>
      <c r="D551" s="2"/>
      <c r="E551" s="2"/>
      <c r="F551" s="2"/>
    </row>
    <row r="552">
      <c r="A552" s="2"/>
      <c r="B552" s="2"/>
      <c r="C552" s="2"/>
      <c r="D552" s="2"/>
      <c r="E552" s="2"/>
      <c r="F552" s="2"/>
    </row>
    <row r="553">
      <c r="A553" s="2"/>
      <c r="B553" s="2"/>
      <c r="C553" s="2"/>
      <c r="D553" s="2"/>
      <c r="E553" s="2"/>
      <c r="F553" s="2"/>
    </row>
    <row r="554">
      <c r="A554" s="2"/>
      <c r="B554" s="2"/>
      <c r="C554" s="2"/>
      <c r="D554" s="2"/>
      <c r="E554" s="2"/>
      <c r="F554" s="2"/>
    </row>
    <row r="555">
      <c r="A555" s="2"/>
      <c r="B555" s="2"/>
      <c r="C555" s="2"/>
      <c r="D555" s="2"/>
      <c r="E555" s="2"/>
      <c r="F555" s="2"/>
    </row>
    <row r="556">
      <c r="A556" s="2"/>
      <c r="B556" s="2"/>
      <c r="C556" s="2"/>
      <c r="D556" s="2"/>
      <c r="E556" s="2"/>
      <c r="F556" s="2"/>
    </row>
    <row r="557">
      <c r="A557" s="2"/>
      <c r="B557" s="2"/>
      <c r="C557" s="2"/>
      <c r="D557" s="2"/>
      <c r="E557" s="2"/>
      <c r="F557" s="2"/>
    </row>
    <row r="558">
      <c r="A558" s="2"/>
      <c r="B558" s="2"/>
      <c r="C558" s="2"/>
      <c r="D558" s="2"/>
      <c r="E558" s="2"/>
      <c r="F558" s="2"/>
    </row>
    <row r="559">
      <c r="A559" s="2"/>
      <c r="B559" s="2"/>
      <c r="C559" s="2"/>
      <c r="D559" s="2"/>
      <c r="E559" s="2"/>
      <c r="F559" s="2"/>
    </row>
    <row r="560">
      <c r="A560" s="2"/>
      <c r="B560" s="2"/>
      <c r="C560" s="2"/>
      <c r="D560" s="2"/>
      <c r="E560" s="2"/>
      <c r="F560" s="2"/>
    </row>
    <row r="561">
      <c r="A561" s="2"/>
      <c r="B561" s="2"/>
      <c r="C561" s="2"/>
      <c r="D561" s="2"/>
      <c r="E561" s="2"/>
      <c r="F561" s="2"/>
    </row>
    <row r="562">
      <c r="A562" s="2"/>
      <c r="B562" s="2"/>
      <c r="C562" s="2"/>
      <c r="D562" s="2"/>
      <c r="E562" s="2"/>
      <c r="F562" s="2"/>
    </row>
    <row r="563">
      <c r="A563" s="2"/>
      <c r="B563" s="2"/>
      <c r="C563" s="2"/>
      <c r="D563" s="2"/>
      <c r="E563" s="2"/>
      <c r="F563" s="2"/>
    </row>
    <row r="564">
      <c r="A564" s="2"/>
      <c r="B564" s="2"/>
      <c r="C564" s="2"/>
      <c r="D564" s="2"/>
      <c r="E564" s="2"/>
      <c r="F564" s="2"/>
    </row>
    <row r="565">
      <c r="A565" s="2"/>
      <c r="B565" s="2"/>
      <c r="C565" s="2"/>
      <c r="D565" s="2"/>
      <c r="E565" s="2"/>
      <c r="F565" s="2"/>
    </row>
    <row r="566">
      <c r="A566" s="2"/>
      <c r="B566" s="2"/>
      <c r="C566" s="2"/>
      <c r="D566" s="2"/>
      <c r="E566" s="2"/>
      <c r="F566" s="2"/>
    </row>
    <row r="567">
      <c r="A567" s="2"/>
      <c r="B567" s="2"/>
      <c r="C567" s="2"/>
      <c r="D567" s="2"/>
      <c r="E567" s="2"/>
      <c r="F567" s="2"/>
    </row>
    <row r="568">
      <c r="A568" s="2"/>
      <c r="B568" s="2"/>
      <c r="C568" s="2"/>
      <c r="D568" s="2"/>
      <c r="E568" s="2"/>
      <c r="F568" s="2"/>
    </row>
    <row r="569">
      <c r="A569" s="2"/>
      <c r="B569" s="2"/>
      <c r="C569" s="2"/>
      <c r="D569" s="2"/>
      <c r="E569" s="2"/>
      <c r="F569" s="2"/>
    </row>
    <row r="570">
      <c r="A570" s="2"/>
      <c r="B570" s="2"/>
      <c r="C570" s="2"/>
      <c r="D570" s="2"/>
      <c r="E570" s="2"/>
      <c r="F570" s="2"/>
    </row>
    <row r="571">
      <c r="A571" s="2"/>
      <c r="B571" s="2"/>
      <c r="C571" s="2"/>
      <c r="D571" s="2"/>
      <c r="E571" s="2"/>
      <c r="F571" s="2"/>
    </row>
    <row r="572">
      <c r="A572" s="2"/>
      <c r="B572" s="2"/>
      <c r="C572" s="2"/>
      <c r="D572" s="2"/>
      <c r="E572" s="2"/>
      <c r="F572" s="2"/>
    </row>
    <row r="573">
      <c r="A573" s="2"/>
      <c r="B573" s="2"/>
      <c r="C573" s="2"/>
      <c r="D573" s="2"/>
      <c r="E573" s="2"/>
      <c r="F573" s="2"/>
    </row>
    <row r="574">
      <c r="A574" s="2"/>
      <c r="B574" s="2"/>
      <c r="C574" s="2"/>
      <c r="D574" s="2"/>
      <c r="E574" s="2"/>
      <c r="F574" s="2"/>
    </row>
    <row r="575">
      <c r="A575" s="2"/>
      <c r="B575" s="2"/>
      <c r="C575" s="2"/>
      <c r="D575" s="2"/>
      <c r="E575" s="2"/>
      <c r="F575" s="2"/>
    </row>
    <row r="576">
      <c r="A576" s="2"/>
      <c r="B576" s="2"/>
      <c r="C576" s="2"/>
      <c r="D576" s="2"/>
      <c r="E576" s="2"/>
      <c r="F576" s="2"/>
    </row>
    <row r="577">
      <c r="A577" s="2"/>
      <c r="B577" s="2"/>
      <c r="C577" s="2"/>
      <c r="D577" s="2"/>
      <c r="E577" s="2"/>
      <c r="F577" s="2"/>
    </row>
    <row r="578">
      <c r="A578" s="2"/>
      <c r="B578" s="2"/>
      <c r="C578" s="2"/>
      <c r="D578" s="2"/>
      <c r="E578" s="2"/>
      <c r="F578" s="2"/>
    </row>
    <row r="579">
      <c r="A579" s="2"/>
      <c r="B579" s="2"/>
      <c r="C579" s="2"/>
      <c r="D579" s="2"/>
      <c r="E579" s="2"/>
      <c r="F579" s="2"/>
    </row>
    <row r="580">
      <c r="A580" s="2"/>
      <c r="B580" s="2"/>
      <c r="C580" s="2"/>
      <c r="D580" s="2"/>
      <c r="E580" s="2"/>
      <c r="F580" s="2"/>
    </row>
    <row r="581">
      <c r="A581" s="2"/>
      <c r="B581" s="2"/>
      <c r="C581" s="2"/>
      <c r="D581" s="2"/>
      <c r="E581" s="2"/>
      <c r="F581" s="2"/>
    </row>
    <row r="582">
      <c r="A582" s="2"/>
      <c r="B582" s="2"/>
      <c r="C582" s="2"/>
      <c r="D582" s="2"/>
      <c r="E582" s="2"/>
      <c r="F582" s="2"/>
    </row>
    <row r="583">
      <c r="A583" s="2"/>
      <c r="B583" s="2"/>
      <c r="C583" s="2"/>
      <c r="D583" s="2"/>
      <c r="E583" s="2"/>
      <c r="F583" s="2"/>
    </row>
    <row r="584">
      <c r="A584" s="2"/>
      <c r="B584" s="2"/>
      <c r="C584" s="2"/>
      <c r="D584" s="2"/>
      <c r="E584" s="2"/>
      <c r="F584" s="2"/>
    </row>
    <row r="585">
      <c r="A585" s="2"/>
      <c r="B585" s="2"/>
      <c r="C585" s="2"/>
      <c r="D585" s="2"/>
      <c r="E585" s="2"/>
      <c r="F585" s="2"/>
    </row>
    <row r="586">
      <c r="A586" s="2"/>
      <c r="B586" s="2"/>
      <c r="C586" s="2"/>
      <c r="D586" s="2"/>
      <c r="E586" s="2"/>
      <c r="F586" s="2"/>
    </row>
    <row r="587">
      <c r="A587" s="2"/>
      <c r="B587" s="2"/>
      <c r="C587" s="2"/>
      <c r="D587" s="2"/>
      <c r="E587" s="2"/>
      <c r="F587" s="2"/>
    </row>
    <row r="588">
      <c r="A588" s="2"/>
      <c r="B588" s="2"/>
      <c r="C588" s="2"/>
      <c r="D588" s="2"/>
      <c r="E588" s="2"/>
      <c r="F588" s="2"/>
    </row>
    <row r="589">
      <c r="A589" s="2"/>
      <c r="B589" s="2"/>
      <c r="C589" s="2"/>
      <c r="D589" s="2"/>
      <c r="E589" s="2"/>
      <c r="F589" s="2"/>
    </row>
    <row r="590">
      <c r="A590" s="2"/>
      <c r="B590" s="2"/>
      <c r="C590" s="2"/>
      <c r="D590" s="2"/>
      <c r="E590" s="2"/>
      <c r="F590" s="2"/>
    </row>
    <row r="591">
      <c r="A591" s="2"/>
      <c r="B591" s="2"/>
      <c r="C591" s="2"/>
      <c r="D591" s="2"/>
      <c r="E591" s="2"/>
      <c r="F591" s="2"/>
    </row>
    <row r="592">
      <c r="A592" s="2"/>
      <c r="B592" s="2"/>
      <c r="C592" s="2"/>
      <c r="D592" s="2"/>
      <c r="E592" s="2"/>
      <c r="F592" s="2"/>
    </row>
    <row r="593">
      <c r="A593" s="2"/>
      <c r="B593" s="2"/>
      <c r="C593" s="2"/>
      <c r="D593" s="2"/>
      <c r="E593" s="2"/>
      <c r="F593" s="2"/>
    </row>
    <row r="594">
      <c r="A594" s="2"/>
      <c r="B594" s="2"/>
      <c r="C594" s="2"/>
      <c r="D594" s="2"/>
      <c r="E594" s="2"/>
      <c r="F594" s="2"/>
    </row>
    <row r="595">
      <c r="A595" s="2"/>
      <c r="B595" s="2"/>
      <c r="C595" s="2"/>
      <c r="D595" s="2"/>
      <c r="E595" s="2"/>
      <c r="F595" s="2"/>
    </row>
    <row r="596">
      <c r="A596" s="2"/>
      <c r="B596" s="2"/>
      <c r="C596" s="2"/>
      <c r="D596" s="2"/>
      <c r="E596" s="2"/>
      <c r="F596" s="2"/>
    </row>
    <row r="597">
      <c r="A597" s="2"/>
      <c r="B597" s="2"/>
      <c r="C597" s="2"/>
      <c r="D597" s="2"/>
      <c r="E597" s="2"/>
      <c r="F597" s="2"/>
    </row>
    <row r="598">
      <c r="A598" s="2"/>
      <c r="B598" s="2"/>
      <c r="C598" s="2"/>
      <c r="D598" s="2"/>
      <c r="E598" s="2"/>
      <c r="F598" s="2"/>
    </row>
    <row r="599">
      <c r="A599" s="2"/>
      <c r="B599" s="2"/>
      <c r="C599" s="2"/>
      <c r="D599" s="2"/>
      <c r="E599" s="2"/>
      <c r="F599" s="2"/>
    </row>
    <row r="600">
      <c r="A600" s="2"/>
      <c r="B600" s="2"/>
      <c r="C600" s="2"/>
      <c r="D600" s="2"/>
      <c r="E600" s="2"/>
      <c r="F600" s="2"/>
    </row>
    <row r="601">
      <c r="A601" s="2"/>
      <c r="B601" s="2"/>
      <c r="C601" s="2"/>
      <c r="D601" s="2"/>
      <c r="E601" s="2"/>
      <c r="F601" s="2"/>
    </row>
    <row r="602">
      <c r="A602" s="2"/>
      <c r="B602" s="2"/>
      <c r="C602" s="2"/>
      <c r="D602" s="2"/>
      <c r="E602" s="2"/>
      <c r="F602" s="2"/>
    </row>
    <row r="603">
      <c r="A603" s="2"/>
      <c r="B603" s="2"/>
      <c r="C603" s="2"/>
      <c r="D603" s="2"/>
      <c r="E603" s="2"/>
      <c r="F603" s="2"/>
    </row>
    <row r="604">
      <c r="A604" s="2"/>
      <c r="B604" s="2"/>
      <c r="C604" s="2"/>
      <c r="D604" s="2"/>
      <c r="E604" s="2"/>
      <c r="F604" s="2"/>
    </row>
    <row r="605">
      <c r="A605" s="2"/>
      <c r="B605" s="2"/>
      <c r="C605" s="2"/>
      <c r="D605" s="2"/>
      <c r="E605" s="2"/>
      <c r="F605" s="2"/>
    </row>
    <row r="606">
      <c r="A606" s="2"/>
      <c r="B606" s="2"/>
      <c r="C606" s="2"/>
      <c r="D606" s="2"/>
      <c r="E606" s="2"/>
      <c r="F606" s="2"/>
    </row>
    <row r="607">
      <c r="A607" s="2"/>
      <c r="B607" s="2"/>
      <c r="C607" s="2"/>
      <c r="D607" s="2"/>
      <c r="E607" s="2"/>
      <c r="F607" s="2"/>
    </row>
    <row r="608">
      <c r="A608" s="2"/>
      <c r="B608" s="2"/>
      <c r="C608" s="2"/>
      <c r="D608" s="2"/>
      <c r="E608" s="2"/>
      <c r="F608" s="2"/>
    </row>
    <row r="609">
      <c r="A609" s="2"/>
      <c r="B609" s="2"/>
      <c r="C609" s="2"/>
      <c r="D609" s="2"/>
      <c r="E609" s="2"/>
      <c r="F609" s="2"/>
    </row>
    <row r="610">
      <c r="A610" s="2"/>
      <c r="B610" s="2"/>
      <c r="C610" s="2"/>
      <c r="D610" s="2"/>
      <c r="E610" s="2"/>
      <c r="F610" s="2"/>
    </row>
    <row r="611">
      <c r="A611" s="2"/>
      <c r="B611" s="2"/>
      <c r="C611" s="2"/>
      <c r="D611" s="2"/>
      <c r="E611" s="2"/>
      <c r="F611" s="2"/>
    </row>
    <row r="612">
      <c r="A612" s="2"/>
      <c r="B612" s="2"/>
      <c r="C612" s="2"/>
      <c r="D612" s="2"/>
      <c r="E612" s="2"/>
      <c r="F612" s="2"/>
    </row>
    <row r="613">
      <c r="A613" s="2"/>
      <c r="B613" s="2"/>
      <c r="C613" s="2"/>
      <c r="D613" s="2"/>
      <c r="E613" s="2"/>
      <c r="F613" s="2"/>
    </row>
    <row r="614">
      <c r="A614" s="2"/>
      <c r="B614" s="2"/>
      <c r="C614" s="2"/>
      <c r="D614" s="2"/>
      <c r="E614" s="2"/>
      <c r="F614" s="2"/>
    </row>
    <row r="615">
      <c r="A615" s="2"/>
      <c r="B615" s="2"/>
      <c r="C615" s="2"/>
      <c r="D615" s="2"/>
      <c r="E615" s="2"/>
      <c r="F615" s="2"/>
    </row>
    <row r="616">
      <c r="A616" s="2"/>
      <c r="B616" s="2"/>
      <c r="C616" s="2"/>
      <c r="D616" s="2"/>
      <c r="E616" s="2"/>
      <c r="F616" s="2"/>
    </row>
    <row r="617">
      <c r="A617" s="2"/>
      <c r="B617" s="2"/>
      <c r="C617" s="2"/>
      <c r="D617" s="2"/>
      <c r="E617" s="2"/>
      <c r="F617" s="2"/>
    </row>
    <row r="618">
      <c r="A618" s="2"/>
      <c r="B618" s="2"/>
      <c r="C618" s="2"/>
      <c r="D618" s="2"/>
      <c r="E618" s="2"/>
      <c r="F618" s="2"/>
    </row>
    <row r="619">
      <c r="A619" s="2"/>
      <c r="B619" s="2"/>
      <c r="C619" s="2"/>
      <c r="D619" s="2"/>
      <c r="E619" s="2"/>
      <c r="F619" s="2"/>
    </row>
    <row r="620">
      <c r="A620" s="2"/>
      <c r="B620" s="2"/>
      <c r="C620" s="2"/>
      <c r="D620" s="2"/>
      <c r="E620" s="2"/>
      <c r="F620" s="2"/>
    </row>
    <row r="621">
      <c r="A621" s="2"/>
      <c r="B621" s="2"/>
      <c r="C621" s="2"/>
      <c r="D621" s="2"/>
      <c r="E621" s="2"/>
      <c r="F621" s="2"/>
    </row>
    <row r="622">
      <c r="A622" s="2"/>
      <c r="B622" s="2"/>
      <c r="C622" s="2"/>
      <c r="D622" s="2"/>
      <c r="E622" s="2"/>
      <c r="F622" s="2"/>
    </row>
    <row r="623">
      <c r="A623" s="2"/>
      <c r="B623" s="2"/>
      <c r="C623" s="2"/>
      <c r="D623" s="2"/>
      <c r="E623" s="2"/>
      <c r="F623" s="2"/>
    </row>
    <row r="624">
      <c r="A624" s="2"/>
      <c r="B624" s="2"/>
      <c r="C624" s="2"/>
      <c r="D624" s="2"/>
      <c r="E624" s="2"/>
      <c r="F624" s="2"/>
    </row>
    <row r="625">
      <c r="A625" s="2"/>
      <c r="B625" s="2"/>
      <c r="C625" s="2"/>
      <c r="D625" s="2"/>
      <c r="E625" s="2"/>
      <c r="F625" s="2"/>
    </row>
    <row r="626">
      <c r="A626" s="2"/>
      <c r="B626" s="2"/>
      <c r="C626" s="2"/>
      <c r="D626" s="2"/>
      <c r="E626" s="2"/>
      <c r="F626" s="2"/>
    </row>
    <row r="627">
      <c r="A627" s="2"/>
      <c r="B627" s="2"/>
      <c r="C627" s="2"/>
      <c r="D627" s="2"/>
      <c r="E627" s="2"/>
      <c r="F627" s="2"/>
    </row>
    <row r="628">
      <c r="A628" s="2"/>
      <c r="B628" s="2"/>
      <c r="C628" s="2"/>
      <c r="D628" s="2"/>
      <c r="E628" s="2"/>
      <c r="F628" s="2"/>
    </row>
    <row r="629">
      <c r="A629" s="2"/>
      <c r="B629" s="2"/>
      <c r="C629" s="2"/>
      <c r="D629" s="2"/>
      <c r="E629" s="2"/>
      <c r="F629" s="2"/>
    </row>
    <row r="630">
      <c r="A630" s="2"/>
      <c r="B630" s="2"/>
      <c r="C630" s="2"/>
      <c r="D630" s="2"/>
      <c r="E630" s="2"/>
      <c r="F630" s="2"/>
    </row>
    <row r="631">
      <c r="A631" s="2"/>
      <c r="B631" s="2"/>
      <c r="C631" s="2"/>
      <c r="D631" s="2"/>
      <c r="E631" s="2"/>
      <c r="F631" s="2"/>
    </row>
    <row r="632">
      <c r="A632" s="2"/>
      <c r="B632" s="2"/>
      <c r="C632" s="2"/>
      <c r="D632" s="2"/>
      <c r="E632" s="2"/>
      <c r="F632" s="2"/>
    </row>
    <row r="633">
      <c r="A633" s="2"/>
      <c r="B633" s="2"/>
      <c r="C633" s="2"/>
      <c r="D633" s="2"/>
      <c r="E633" s="2"/>
      <c r="F633" s="2"/>
    </row>
    <row r="634">
      <c r="A634" s="2"/>
      <c r="B634" s="2"/>
      <c r="C634" s="2"/>
      <c r="D634" s="2"/>
      <c r="E634" s="2"/>
      <c r="F634" s="2"/>
    </row>
    <row r="635">
      <c r="A635" s="2"/>
      <c r="B635" s="2"/>
      <c r="C635" s="2"/>
      <c r="D635" s="2"/>
      <c r="E635" s="2"/>
      <c r="F635" s="2"/>
    </row>
    <row r="636">
      <c r="A636" s="2"/>
      <c r="B636" s="2"/>
      <c r="C636" s="2"/>
      <c r="D636" s="2"/>
      <c r="E636" s="2"/>
      <c r="F636" s="2"/>
    </row>
    <row r="637">
      <c r="A637" s="2"/>
      <c r="B637" s="2"/>
      <c r="C637" s="2"/>
      <c r="D637" s="2"/>
      <c r="E637" s="2"/>
      <c r="F637" s="2"/>
    </row>
    <row r="638">
      <c r="A638" s="2"/>
      <c r="B638" s="2"/>
      <c r="C638" s="2"/>
      <c r="D638" s="2"/>
      <c r="E638" s="2"/>
      <c r="F638" s="2"/>
    </row>
    <row r="639">
      <c r="A639" s="2"/>
      <c r="B639" s="2"/>
      <c r="C639" s="2"/>
      <c r="D639" s="2"/>
      <c r="E639" s="2"/>
      <c r="F639" s="2"/>
    </row>
    <row r="640">
      <c r="A640" s="2"/>
      <c r="B640" s="2"/>
      <c r="C640" s="2"/>
      <c r="D640" s="2"/>
      <c r="E640" s="2"/>
      <c r="F640" s="2"/>
    </row>
    <row r="641">
      <c r="A641" s="2"/>
      <c r="B641" s="2"/>
      <c r="C641" s="2"/>
      <c r="D641" s="2"/>
      <c r="E641" s="2"/>
      <c r="F641" s="2"/>
    </row>
    <row r="642">
      <c r="A642" s="2"/>
      <c r="B642" s="2"/>
      <c r="C642" s="2"/>
      <c r="D642" s="2"/>
      <c r="E642" s="2"/>
      <c r="F642" s="2"/>
    </row>
    <row r="643">
      <c r="A643" s="2"/>
      <c r="B643" s="2"/>
      <c r="C643" s="2"/>
      <c r="D643" s="2"/>
      <c r="E643" s="2"/>
      <c r="F643" s="2"/>
    </row>
    <row r="644">
      <c r="A644" s="2"/>
      <c r="B644" s="2"/>
      <c r="C644" s="2"/>
      <c r="D644" s="2"/>
      <c r="E644" s="2"/>
      <c r="F644" s="2"/>
    </row>
    <row r="645">
      <c r="A645" s="2"/>
      <c r="B645" s="2"/>
      <c r="C645" s="2"/>
      <c r="D645" s="2"/>
      <c r="E645" s="2"/>
      <c r="F645" s="2"/>
    </row>
    <row r="646">
      <c r="A646" s="2"/>
      <c r="B646" s="2"/>
      <c r="C646" s="2"/>
      <c r="D646" s="2"/>
      <c r="E646" s="2"/>
      <c r="F646" s="2"/>
    </row>
    <row r="647">
      <c r="A647" s="2"/>
      <c r="B647" s="2"/>
      <c r="C647" s="2"/>
      <c r="D647" s="2"/>
      <c r="E647" s="2"/>
      <c r="F647" s="2"/>
    </row>
    <row r="648">
      <c r="A648" s="2"/>
      <c r="B648" s="2"/>
      <c r="C648" s="2"/>
      <c r="D648" s="2"/>
      <c r="E648" s="2"/>
      <c r="F648" s="2"/>
    </row>
    <row r="649">
      <c r="A649" s="2"/>
      <c r="B649" s="2"/>
      <c r="C649" s="2"/>
      <c r="D649" s="2"/>
      <c r="E649" s="2"/>
      <c r="F649" s="2"/>
    </row>
    <row r="650">
      <c r="A650" s="2"/>
      <c r="B650" s="2"/>
      <c r="C650" s="2"/>
      <c r="D650" s="2"/>
      <c r="E650" s="2"/>
      <c r="F650" s="2"/>
    </row>
    <row r="651">
      <c r="A651" s="2"/>
      <c r="B651" s="2"/>
      <c r="C651" s="2"/>
      <c r="D651" s="2"/>
      <c r="E651" s="2"/>
      <c r="F651" s="2"/>
    </row>
    <row r="652">
      <c r="A652" s="2"/>
      <c r="B652" s="2"/>
      <c r="C652" s="2"/>
      <c r="D652" s="2"/>
      <c r="E652" s="2"/>
      <c r="F652" s="2"/>
    </row>
    <row r="653">
      <c r="A653" s="2"/>
      <c r="B653" s="2"/>
      <c r="C653" s="2"/>
      <c r="D653" s="2"/>
      <c r="E653" s="2"/>
      <c r="F653" s="2"/>
    </row>
    <row r="654">
      <c r="A654" s="2"/>
      <c r="B654" s="2"/>
      <c r="C654" s="2"/>
      <c r="D654" s="2"/>
      <c r="E654" s="2"/>
      <c r="F654" s="2"/>
    </row>
    <row r="655">
      <c r="A655" s="2"/>
      <c r="B655" s="2"/>
      <c r="C655" s="2"/>
      <c r="D655" s="2"/>
      <c r="E655" s="2"/>
      <c r="F655" s="2"/>
    </row>
    <row r="656">
      <c r="A656" s="2"/>
      <c r="B656" s="2"/>
      <c r="C656" s="2"/>
      <c r="D656" s="2"/>
      <c r="E656" s="2"/>
      <c r="F656" s="2"/>
    </row>
    <row r="657">
      <c r="A657" s="2"/>
      <c r="B657" s="2"/>
      <c r="C657" s="2"/>
      <c r="D657" s="2"/>
      <c r="E657" s="2"/>
      <c r="F657" s="2"/>
    </row>
    <row r="658">
      <c r="A658" s="2"/>
      <c r="B658" s="2"/>
      <c r="C658" s="2"/>
      <c r="D658" s="2"/>
      <c r="E658" s="2"/>
      <c r="F658" s="2"/>
    </row>
    <row r="659">
      <c r="A659" s="2"/>
      <c r="B659" s="2"/>
      <c r="C659" s="2"/>
      <c r="D659" s="2"/>
      <c r="E659" s="2"/>
      <c r="F659" s="2"/>
    </row>
    <row r="660">
      <c r="A660" s="2"/>
      <c r="B660" s="2"/>
      <c r="C660" s="2"/>
      <c r="D660" s="2"/>
      <c r="E660" s="2"/>
      <c r="F660" s="2"/>
    </row>
    <row r="661">
      <c r="A661" s="2"/>
      <c r="B661" s="2"/>
      <c r="C661" s="2"/>
      <c r="D661" s="2"/>
      <c r="E661" s="2"/>
      <c r="F661" s="2"/>
    </row>
    <row r="662">
      <c r="A662" s="2"/>
      <c r="B662" s="2"/>
      <c r="C662" s="2"/>
      <c r="D662" s="2"/>
      <c r="E662" s="2"/>
      <c r="F662" s="2"/>
    </row>
    <row r="663">
      <c r="A663" s="2"/>
      <c r="B663" s="2"/>
      <c r="C663" s="2"/>
      <c r="D663" s="2"/>
      <c r="E663" s="2"/>
      <c r="F663" s="2"/>
    </row>
    <row r="664">
      <c r="A664" s="2"/>
      <c r="B664" s="2"/>
      <c r="C664" s="2"/>
      <c r="D664" s="2"/>
      <c r="E664" s="2"/>
      <c r="F664" s="2"/>
    </row>
    <row r="665">
      <c r="A665" s="2"/>
      <c r="B665" s="2"/>
      <c r="C665" s="2"/>
      <c r="D665" s="2"/>
      <c r="E665" s="2"/>
      <c r="F665" s="2"/>
    </row>
    <row r="666">
      <c r="A666" s="2"/>
      <c r="B666" s="2"/>
      <c r="C666" s="2"/>
      <c r="D666" s="2"/>
      <c r="E666" s="2"/>
      <c r="F666" s="2"/>
    </row>
    <row r="667">
      <c r="A667" s="2"/>
      <c r="B667" s="2"/>
      <c r="C667" s="2"/>
      <c r="D667" s="2"/>
      <c r="E667" s="2"/>
      <c r="F667" s="2"/>
    </row>
    <row r="668">
      <c r="A668" s="2"/>
      <c r="B668" s="2"/>
      <c r="C668" s="2"/>
      <c r="D668" s="2"/>
      <c r="E668" s="2"/>
      <c r="F668" s="2"/>
    </row>
    <row r="669">
      <c r="A669" s="2"/>
      <c r="B669" s="2"/>
      <c r="C669" s="2"/>
      <c r="D669" s="2"/>
      <c r="E669" s="2"/>
      <c r="F669" s="2"/>
    </row>
    <row r="670">
      <c r="A670" s="2"/>
      <c r="B670" s="2"/>
      <c r="C670" s="2"/>
      <c r="D670" s="2"/>
      <c r="E670" s="2"/>
      <c r="F670" s="2"/>
    </row>
    <row r="671">
      <c r="A671" s="2"/>
      <c r="B671" s="2"/>
      <c r="C671" s="2"/>
      <c r="D671" s="2"/>
      <c r="E671" s="2"/>
      <c r="F671" s="2"/>
    </row>
    <row r="672">
      <c r="A672" s="2"/>
      <c r="B672" s="2"/>
      <c r="C672" s="2"/>
      <c r="D672" s="2"/>
      <c r="E672" s="2"/>
      <c r="F672" s="2"/>
    </row>
    <row r="673">
      <c r="A673" s="2"/>
      <c r="B673" s="2"/>
      <c r="C673" s="2"/>
      <c r="D673" s="2"/>
      <c r="E673" s="2"/>
      <c r="F673" s="2"/>
    </row>
    <row r="674">
      <c r="A674" s="2"/>
      <c r="B674" s="2"/>
      <c r="C674" s="2"/>
      <c r="D674" s="2"/>
      <c r="E674" s="2"/>
      <c r="F674" s="2"/>
    </row>
    <row r="675">
      <c r="A675" s="2"/>
      <c r="B675" s="2"/>
      <c r="C675" s="2"/>
      <c r="D675" s="2"/>
      <c r="E675" s="2"/>
      <c r="F675" s="2"/>
    </row>
    <row r="676">
      <c r="A676" s="2"/>
      <c r="B676" s="2"/>
      <c r="C676" s="2"/>
      <c r="D676" s="2"/>
      <c r="E676" s="2"/>
      <c r="F676" s="2"/>
    </row>
    <row r="677">
      <c r="A677" s="2"/>
      <c r="B677" s="2"/>
      <c r="C677" s="2"/>
      <c r="D677" s="2"/>
      <c r="E677" s="2"/>
      <c r="F677" s="2"/>
    </row>
    <row r="678">
      <c r="A678" s="2"/>
      <c r="B678" s="2"/>
      <c r="C678" s="2"/>
      <c r="D678" s="2"/>
      <c r="E678" s="2"/>
      <c r="F678" s="2"/>
    </row>
    <row r="679">
      <c r="A679" s="2"/>
      <c r="B679" s="2"/>
      <c r="C679" s="2"/>
      <c r="D679" s="2"/>
      <c r="E679" s="2"/>
      <c r="F679" s="2"/>
    </row>
    <row r="680">
      <c r="A680" s="2"/>
      <c r="B680" s="2"/>
      <c r="C680" s="2"/>
      <c r="D680" s="2"/>
      <c r="E680" s="2"/>
      <c r="F680" s="2"/>
    </row>
    <row r="681">
      <c r="A681" s="2"/>
      <c r="B681" s="2"/>
      <c r="C681" s="2"/>
      <c r="D681" s="2"/>
      <c r="E681" s="2"/>
      <c r="F681" s="2"/>
    </row>
    <row r="682">
      <c r="A682" s="2"/>
      <c r="B682" s="2"/>
      <c r="C682" s="2"/>
      <c r="D682" s="2"/>
      <c r="E682" s="2"/>
      <c r="F682" s="2"/>
    </row>
    <row r="683">
      <c r="A683" s="2"/>
      <c r="B683" s="2"/>
      <c r="C683" s="2"/>
      <c r="D683" s="2"/>
      <c r="E683" s="2"/>
      <c r="F683" s="2"/>
    </row>
    <row r="684">
      <c r="A684" s="2"/>
      <c r="B684" s="2"/>
      <c r="C684" s="2"/>
      <c r="D684" s="2"/>
      <c r="E684" s="2"/>
      <c r="F684" s="2"/>
    </row>
    <row r="685">
      <c r="A685" s="2"/>
      <c r="B685" s="2"/>
      <c r="C685" s="2"/>
      <c r="D685" s="2"/>
      <c r="E685" s="2"/>
      <c r="F685" s="2"/>
    </row>
    <row r="686">
      <c r="A686" s="2"/>
      <c r="B686" s="2"/>
      <c r="C686" s="2"/>
      <c r="D686" s="2"/>
      <c r="E686" s="2"/>
      <c r="F686" s="2"/>
    </row>
    <row r="687">
      <c r="A687" s="2"/>
      <c r="B687" s="2"/>
      <c r="C687" s="2"/>
      <c r="D687" s="2"/>
      <c r="E687" s="2"/>
      <c r="F687" s="2"/>
    </row>
    <row r="688">
      <c r="A688" s="2"/>
      <c r="B688" s="2"/>
      <c r="C688" s="2"/>
      <c r="D688" s="2"/>
      <c r="E688" s="2"/>
      <c r="F688" s="2"/>
    </row>
    <row r="689">
      <c r="A689" s="2"/>
      <c r="B689" s="2"/>
      <c r="C689" s="2"/>
      <c r="D689" s="2"/>
      <c r="E689" s="2"/>
      <c r="F689" s="2"/>
    </row>
    <row r="690">
      <c r="A690" s="2"/>
      <c r="B690" s="2"/>
      <c r="C690" s="2"/>
      <c r="D690" s="2"/>
      <c r="E690" s="2"/>
      <c r="F690" s="2"/>
    </row>
    <row r="691">
      <c r="A691" s="2"/>
      <c r="B691" s="2"/>
      <c r="C691" s="2"/>
      <c r="D691" s="2"/>
      <c r="E691" s="2"/>
      <c r="F691" s="2"/>
    </row>
    <row r="692">
      <c r="A692" s="2"/>
      <c r="B692" s="2"/>
      <c r="C692" s="2"/>
      <c r="D692" s="2"/>
      <c r="E692" s="2"/>
      <c r="F692" s="2"/>
    </row>
    <row r="693">
      <c r="A693" s="2"/>
      <c r="B693" s="2"/>
      <c r="C693" s="2"/>
      <c r="D693" s="2"/>
      <c r="E693" s="2"/>
      <c r="F693" s="2"/>
    </row>
    <row r="694">
      <c r="A694" s="2"/>
      <c r="B694" s="2"/>
      <c r="C694" s="2"/>
      <c r="D694" s="2"/>
      <c r="E694" s="2"/>
      <c r="F694" s="2"/>
    </row>
    <row r="695">
      <c r="A695" s="2"/>
      <c r="B695" s="2"/>
      <c r="C695" s="2"/>
      <c r="D695" s="2"/>
      <c r="E695" s="2"/>
      <c r="F695" s="2"/>
    </row>
    <row r="696">
      <c r="A696" s="2"/>
      <c r="B696" s="2"/>
      <c r="C696" s="2"/>
      <c r="D696" s="2"/>
      <c r="E696" s="2"/>
      <c r="F696" s="2"/>
    </row>
    <row r="697">
      <c r="A697" s="2"/>
      <c r="B697" s="2"/>
      <c r="C697" s="2"/>
      <c r="D697" s="2"/>
      <c r="E697" s="2"/>
      <c r="F697" s="2"/>
    </row>
    <row r="698">
      <c r="A698" s="2"/>
      <c r="B698" s="2"/>
      <c r="C698" s="2"/>
      <c r="D698" s="2"/>
      <c r="E698" s="2"/>
      <c r="F698" s="2"/>
    </row>
    <row r="699">
      <c r="A699" s="2"/>
      <c r="B699" s="2"/>
      <c r="C699" s="2"/>
      <c r="D699" s="2"/>
      <c r="E699" s="2"/>
      <c r="F699" s="2"/>
    </row>
    <row r="700">
      <c r="A700" s="2"/>
      <c r="B700" s="2"/>
      <c r="C700" s="2"/>
      <c r="D700" s="2"/>
      <c r="E700" s="2"/>
      <c r="F700" s="2"/>
    </row>
    <row r="701">
      <c r="A701" s="2"/>
      <c r="B701" s="2"/>
      <c r="C701" s="2"/>
      <c r="D701" s="2"/>
      <c r="E701" s="2"/>
      <c r="F701" s="2"/>
    </row>
    <row r="702">
      <c r="A702" s="2"/>
      <c r="B702" s="2"/>
      <c r="C702" s="2"/>
      <c r="D702" s="2"/>
      <c r="E702" s="2"/>
      <c r="F702" s="2"/>
    </row>
    <row r="703">
      <c r="A703" s="2"/>
      <c r="B703" s="2"/>
      <c r="C703" s="2"/>
      <c r="D703" s="2"/>
      <c r="E703" s="2"/>
      <c r="F703" s="2"/>
    </row>
    <row r="704">
      <c r="A704" s="2"/>
      <c r="B704" s="2"/>
      <c r="C704" s="2"/>
      <c r="D704" s="2"/>
      <c r="E704" s="2"/>
      <c r="F704" s="2"/>
    </row>
    <row r="705">
      <c r="A705" s="2"/>
      <c r="B705" s="2"/>
      <c r="C705" s="2"/>
      <c r="D705" s="2"/>
      <c r="E705" s="2"/>
      <c r="F705" s="2"/>
    </row>
    <row r="706">
      <c r="A706" s="2"/>
      <c r="B706" s="2"/>
      <c r="C706" s="2"/>
      <c r="D706" s="2"/>
      <c r="E706" s="2"/>
      <c r="F706" s="2"/>
    </row>
    <row r="707">
      <c r="A707" s="2"/>
      <c r="B707" s="2"/>
      <c r="C707" s="2"/>
      <c r="D707" s="2"/>
      <c r="E707" s="2"/>
      <c r="F707" s="2"/>
    </row>
    <row r="708">
      <c r="A708" s="2"/>
      <c r="B708" s="2"/>
      <c r="C708" s="2"/>
      <c r="D708" s="2"/>
      <c r="E708" s="2"/>
      <c r="F708" s="2"/>
    </row>
    <row r="709">
      <c r="A709" s="2"/>
      <c r="B709" s="2"/>
      <c r="C709" s="2"/>
      <c r="D709" s="2"/>
      <c r="E709" s="2"/>
      <c r="F709" s="2"/>
    </row>
    <row r="710">
      <c r="A710" s="2"/>
      <c r="B710" s="2"/>
      <c r="C710" s="2"/>
      <c r="D710" s="2"/>
      <c r="E710" s="2"/>
      <c r="F710" s="2"/>
    </row>
    <row r="711">
      <c r="A711" s="2"/>
      <c r="B711" s="2"/>
      <c r="C711" s="2"/>
      <c r="D711" s="2"/>
      <c r="E711" s="2"/>
      <c r="F711" s="2"/>
    </row>
    <row r="712">
      <c r="A712" s="2"/>
      <c r="B712" s="2"/>
      <c r="C712" s="2"/>
      <c r="D712" s="2"/>
      <c r="E712" s="2"/>
      <c r="F712" s="2"/>
    </row>
    <row r="713">
      <c r="A713" s="2"/>
      <c r="B713" s="2"/>
      <c r="C713" s="2"/>
      <c r="D713" s="2"/>
      <c r="E713" s="2"/>
      <c r="F713" s="2"/>
    </row>
    <row r="714">
      <c r="A714" s="2"/>
      <c r="B714" s="2"/>
      <c r="C714" s="2"/>
      <c r="D714" s="2"/>
      <c r="E714" s="2"/>
      <c r="F714" s="2"/>
    </row>
    <row r="715">
      <c r="A715" s="2"/>
      <c r="B715" s="2"/>
      <c r="C715" s="2"/>
      <c r="D715" s="2"/>
      <c r="E715" s="2"/>
      <c r="F715" s="2"/>
    </row>
    <row r="716">
      <c r="A716" s="2"/>
      <c r="B716" s="2"/>
      <c r="C716" s="2"/>
      <c r="D716" s="2"/>
      <c r="E716" s="2"/>
      <c r="F716" s="2"/>
    </row>
    <row r="717">
      <c r="A717" s="2"/>
      <c r="B717" s="2"/>
      <c r="C717" s="2"/>
      <c r="D717" s="2"/>
      <c r="E717" s="2"/>
      <c r="F717" s="2"/>
    </row>
    <row r="718">
      <c r="A718" s="2"/>
      <c r="B718" s="2"/>
      <c r="C718" s="2"/>
      <c r="D718" s="2"/>
      <c r="E718" s="2"/>
      <c r="F718" s="2"/>
    </row>
    <row r="719">
      <c r="A719" s="2"/>
      <c r="B719" s="2"/>
      <c r="C719" s="2"/>
      <c r="D719" s="2"/>
      <c r="E719" s="2"/>
      <c r="F719" s="2"/>
    </row>
    <row r="720">
      <c r="A720" s="2"/>
      <c r="B720" s="2"/>
      <c r="C720" s="2"/>
      <c r="D720" s="2"/>
      <c r="E720" s="2"/>
      <c r="F720" s="2"/>
    </row>
    <row r="721">
      <c r="A721" s="2"/>
      <c r="B721" s="2"/>
      <c r="C721" s="2"/>
      <c r="D721" s="2"/>
      <c r="E721" s="2"/>
      <c r="F721" s="2"/>
    </row>
    <row r="722">
      <c r="A722" s="2"/>
      <c r="B722" s="2"/>
      <c r="C722" s="2"/>
      <c r="D722" s="2"/>
      <c r="E722" s="2"/>
      <c r="F722" s="2"/>
    </row>
    <row r="723">
      <c r="A723" s="2"/>
      <c r="B723" s="2"/>
      <c r="C723" s="2"/>
      <c r="D723" s="2"/>
      <c r="E723" s="2"/>
      <c r="F723" s="2"/>
    </row>
    <row r="724">
      <c r="A724" s="2"/>
      <c r="B724" s="2"/>
      <c r="C724" s="2"/>
      <c r="D724" s="2"/>
      <c r="E724" s="2"/>
      <c r="F724" s="2"/>
    </row>
    <row r="725">
      <c r="A725" s="2"/>
      <c r="B725" s="2"/>
      <c r="C725" s="2"/>
      <c r="D725" s="2"/>
      <c r="E725" s="2"/>
      <c r="F725" s="2"/>
    </row>
    <row r="726">
      <c r="A726" s="2"/>
      <c r="B726" s="2"/>
      <c r="C726" s="2"/>
      <c r="D726" s="2"/>
      <c r="E726" s="2"/>
      <c r="F726" s="2"/>
    </row>
    <row r="727">
      <c r="A727" s="2"/>
      <c r="B727" s="2"/>
      <c r="C727" s="2"/>
      <c r="D727" s="2"/>
      <c r="E727" s="2"/>
      <c r="F727" s="2"/>
    </row>
    <row r="728">
      <c r="A728" s="2"/>
      <c r="B728" s="2"/>
      <c r="C728" s="2"/>
      <c r="D728" s="2"/>
      <c r="E728" s="2"/>
      <c r="F728" s="2"/>
    </row>
    <row r="729">
      <c r="A729" s="2"/>
      <c r="B729" s="2"/>
      <c r="C729" s="2"/>
      <c r="D729" s="2"/>
      <c r="E729" s="2"/>
      <c r="F729" s="2"/>
    </row>
    <row r="730">
      <c r="A730" s="2"/>
      <c r="B730" s="2"/>
      <c r="C730" s="2"/>
      <c r="D730" s="2"/>
      <c r="E730" s="2"/>
      <c r="F730" s="2"/>
    </row>
    <row r="731">
      <c r="A731" s="2"/>
      <c r="B731" s="2"/>
      <c r="C731" s="2"/>
      <c r="D731" s="2"/>
      <c r="E731" s="2"/>
      <c r="F731" s="2"/>
    </row>
    <row r="732">
      <c r="A732" s="2"/>
      <c r="B732" s="2"/>
      <c r="C732" s="2"/>
      <c r="D732" s="2"/>
      <c r="E732" s="2"/>
      <c r="F732" s="2"/>
    </row>
    <row r="733">
      <c r="A733" s="2"/>
      <c r="B733" s="2"/>
      <c r="C733" s="2"/>
      <c r="D733" s="2"/>
      <c r="E733" s="2"/>
      <c r="F733" s="2"/>
    </row>
    <row r="734">
      <c r="A734" s="2"/>
      <c r="B734" s="2"/>
      <c r="C734" s="2"/>
      <c r="D734" s="2"/>
      <c r="E734" s="2"/>
      <c r="F734" s="2"/>
    </row>
    <row r="735">
      <c r="A735" s="2"/>
      <c r="B735" s="2"/>
      <c r="C735" s="2"/>
      <c r="D735" s="2"/>
      <c r="E735" s="2"/>
      <c r="F735" s="2"/>
    </row>
    <row r="736">
      <c r="A736" s="2"/>
      <c r="B736" s="2"/>
      <c r="C736" s="2"/>
      <c r="D736" s="2"/>
      <c r="E736" s="2"/>
      <c r="F736" s="2"/>
    </row>
    <row r="737">
      <c r="A737" s="2"/>
      <c r="B737" s="2"/>
      <c r="C737" s="2"/>
      <c r="D737" s="2"/>
      <c r="E737" s="2"/>
      <c r="F737" s="2"/>
    </row>
    <row r="738">
      <c r="A738" s="2"/>
      <c r="B738" s="2"/>
      <c r="C738" s="2"/>
      <c r="D738" s="2"/>
      <c r="E738" s="2"/>
      <c r="F738" s="2"/>
    </row>
    <row r="739">
      <c r="A739" s="2"/>
      <c r="B739" s="2"/>
      <c r="C739" s="2"/>
      <c r="D739" s="2"/>
      <c r="E739" s="2"/>
      <c r="F739" s="2"/>
    </row>
    <row r="740">
      <c r="A740" s="2"/>
      <c r="B740" s="2"/>
      <c r="C740" s="2"/>
      <c r="D740" s="2"/>
      <c r="E740" s="2"/>
      <c r="F740" s="2"/>
    </row>
    <row r="741">
      <c r="A741" s="2"/>
      <c r="B741" s="2"/>
      <c r="C741" s="2"/>
      <c r="D741" s="2"/>
      <c r="E741" s="2"/>
      <c r="F741" s="2"/>
    </row>
    <row r="742">
      <c r="A742" s="2"/>
      <c r="B742" s="2"/>
      <c r="C742" s="2"/>
      <c r="D742" s="2"/>
      <c r="E742" s="2"/>
      <c r="F742" s="2"/>
    </row>
    <row r="743">
      <c r="A743" s="2"/>
      <c r="B743" s="2"/>
      <c r="C743" s="2"/>
      <c r="D743" s="2"/>
      <c r="E743" s="2"/>
      <c r="F743" s="2"/>
    </row>
    <row r="744">
      <c r="A744" s="2"/>
      <c r="B744" s="2"/>
      <c r="C744" s="2"/>
      <c r="D744" s="2"/>
      <c r="E744" s="2"/>
      <c r="F744" s="2"/>
    </row>
    <row r="745">
      <c r="A745" s="2"/>
      <c r="B745" s="2"/>
      <c r="C745" s="2"/>
      <c r="D745" s="2"/>
      <c r="E745" s="2"/>
      <c r="F745" s="2"/>
    </row>
    <row r="746">
      <c r="A746" s="2"/>
      <c r="B746" s="2"/>
      <c r="C746" s="2"/>
      <c r="D746" s="2"/>
      <c r="E746" s="2"/>
      <c r="F746" s="2"/>
    </row>
    <row r="747">
      <c r="A747" s="2"/>
      <c r="B747" s="2"/>
      <c r="C747" s="2"/>
      <c r="D747" s="2"/>
      <c r="E747" s="2"/>
      <c r="F747" s="2"/>
    </row>
    <row r="748">
      <c r="A748" s="2"/>
      <c r="B748" s="2"/>
      <c r="C748" s="2"/>
      <c r="D748" s="2"/>
      <c r="E748" s="2"/>
      <c r="F748" s="2"/>
    </row>
    <row r="749">
      <c r="A749" s="2"/>
      <c r="B749" s="2"/>
      <c r="C749" s="2"/>
      <c r="D749" s="2"/>
      <c r="E749" s="2"/>
      <c r="F749" s="2"/>
    </row>
    <row r="750">
      <c r="A750" s="2"/>
      <c r="B750" s="2"/>
      <c r="C750" s="2"/>
      <c r="D750" s="2"/>
      <c r="E750" s="2"/>
      <c r="F750" s="2"/>
    </row>
    <row r="751">
      <c r="A751" s="2"/>
      <c r="B751" s="2"/>
      <c r="C751" s="2"/>
      <c r="D751" s="2"/>
      <c r="E751" s="2"/>
      <c r="F751" s="2"/>
    </row>
    <row r="752">
      <c r="A752" s="2"/>
      <c r="B752" s="2"/>
      <c r="C752" s="2"/>
      <c r="D752" s="2"/>
      <c r="E752" s="2"/>
      <c r="F752" s="2"/>
    </row>
    <row r="753">
      <c r="A753" s="2"/>
      <c r="B753" s="2"/>
      <c r="C753" s="2"/>
      <c r="D753" s="2"/>
      <c r="E753" s="2"/>
      <c r="F753" s="2"/>
    </row>
    <row r="754">
      <c r="A754" s="2"/>
      <c r="B754" s="2"/>
      <c r="C754" s="2"/>
      <c r="D754" s="2"/>
      <c r="E754" s="2"/>
      <c r="F754" s="2"/>
    </row>
    <row r="755">
      <c r="A755" s="2"/>
      <c r="B755" s="2"/>
      <c r="C755" s="2"/>
      <c r="D755" s="2"/>
      <c r="E755" s="2"/>
      <c r="F755" s="2"/>
    </row>
    <row r="756">
      <c r="A756" s="2"/>
      <c r="B756" s="2"/>
      <c r="C756" s="2"/>
      <c r="D756" s="2"/>
      <c r="E756" s="2"/>
      <c r="F756" s="2"/>
    </row>
    <row r="757">
      <c r="A757" s="2"/>
      <c r="B757" s="2"/>
      <c r="C757" s="2"/>
      <c r="D757" s="2"/>
      <c r="E757" s="2"/>
      <c r="F757" s="2"/>
    </row>
    <row r="758">
      <c r="A758" s="2"/>
      <c r="B758" s="2"/>
      <c r="C758" s="2"/>
      <c r="D758" s="2"/>
      <c r="E758" s="2"/>
      <c r="F758" s="2"/>
    </row>
    <row r="759">
      <c r="A759" s="2"/>
      <c r="B759" s="2"/>
      <c r="C759" s="2"/>
      <c r="D759" s="2"/>
      <c r="E759" s="2"/>
      <c r="F759" s="2"/>
    </row>
    <row r="760">
      <c r="A760" s="2"/>
      <c r="B760" s="2"/>
      <c r="C760" s="2"/>
      <c r="D760" s="2"/>
      <c r="E760" s="2"/>
      <c r="F760" s="2"/>
    </row>
    <row r="761">
      <c r="A761" s="2"/>
      <c r="B761" s="2"/>
      <c r="C761" s="2"/>
      <c r="D761" s="2"/>
      <c r="E761" s="2"/>
      <c r="F761" s="2"/>
    </row>
    <row r="762">
      <c r="A762" s="2"/>
      <c r="B762" s="2"/>
      <c r="C762" s="2"/>
      <c r="D762" s="2"/>
      <c r="E762" s="2"/>
      <c r="F762" s="2"/>
    </row>
    <row r="763">
      <c r="A763" s="2"/>
      <c r="B763" s="2"/>
      <c r="C763" s="2"/>
      <c r="D763" s="2"/>
      <c r="E763" s="2"/>
      <c r="F763" s="2"/>
    </row>
    <row r="764">
      <c r="A764" s="2"/>
      <c r="B764" s="2"/>
      <c r="C764" s="2"/>
      <c r="D764" s="2"/>
      <c r="E764" s="2"/>
      <c r="F764" s="2"/>
    </row>
    <row r="765">
      <c r="A765" s="2"/>
      <c r="B765" s="2"/>
      <c r="C765" s="2"/>
      <c r="D765" s="2"/>
      <c r="E765" s="2"/>
      <c r="F765" s="2"/>
    </row>
    <row r="766">
      <c r="A766" s="2"/>
      <c r="B766" s="2"/>
      <c r="C766" s="2"/>
      <c r="D766" s="2"/>
      <c r="E766" s="2"/>
      <c r="F766" s="2"/>
    </row>
    <row r="767">
      <c r="A767" s="2"/>
      <c r="B767" s="2"/>
      <c r="C767" s="2"/>
      <c r="D767" s="2"/>
      <c r="E767" s="2"/>
      <c r="F767" s="2"/>
    </row>
    <row r="768">
      <c r="A768" s="2"/>
      <c r="B768" s="2"/>
      <c r="C768" s="2"/>
      <c r="D768" s="2"/>
      <c r="E768" s="2"/>
      <c r="F768" s="2"/>
    </row>
    <row r="769">
      <c r="A769" s="2"/>
      <c r="B769" s="2"/>
      <c r="C769" s="2"/>
      <c r="D769" s="2"/>
      <c r="E769" s="2"/>
      <c r="F769" s="2"/>
    </row>
    <row r="770">
      <c r="A770" s="2"/>
      <c r="B770" s="2"/>
      <c r="C770" s="2"/>
      <c r="D770" s="2"/>
      <c r="E770" s="2"/>
      <c r="F770" s="2"/>
    </row>
    <row r="771">
      <c r="A771" s="2"/>
      <c r="B771" s="2"/>
      <c r="C771" s="2"/>
      <c r="D771" s="2"/>
      <c r="E771" s="2"/>
      <c r="F771" s="2"/>
    </row>
    <row r="772">
      <c r="A772" s="2"/>
      <c r="B772" s="2"/>
      <c r="C772" s="2"/>
      <c r="D772" s="2"/>
      <c r="E772" s="2"/>
      <c r="F772" s="2"/>
    </row>
    <row r="773">
      <c r="A773" s="2"/>
      <c r="B773" s="2"/>
      <c r="C773" s="2"/>
      <c r="D773" s="2"/>
      <c r="E773" s="2"/>
      <c r="F773" s="2"/>
    </row>
    <row r="774">
      <c r="A774" s="2"/>
      <c r="B774" s="2"/>
      <c r="C774" s="2"/>
      <c r="D774" s="2"/>
      <c r="E774" s="2"/>
      <c r="F774" s="2"/>
    </row>
    <row r="775">
      <c r="A775" s="2"/>
      <c r="B775" s="2"/>
      <c r="C775" s="2"/>
      <c r="D775" s="2"/>
      <c r="E775" s="2"/>
      <c r="F775" s="2"/>
    </row>
    <row r="776">
      <c r="A776" s="2"/>
      <c r="B776" s="2"/>
      <c r="C776" s="2"/>
      <c r="D776" s="2"/>
      <c r="E776" s="2"/>
      <c r="F776" s="2"/>
    </row>
    <row r="777">
      <c r="A777" s="2"/>
      <c r="B777" s="2"/>
      <c r="C777" s="2"/>
      <c r="D777" s="2"/>
      <c r="E777" s="2"/>
      <c r="F777" s="2"/>
    </row>
    <row r="778">
      <c r="A778" s="2"/>
      <c r="B778" s="2"/>
      <c r="C778" s="2"/>
      <c r="D778" s="2"/>
      <c r="E778" s="2"/>
      <c r="F778" s="2"/>
    </row>
    <row r="779">
      <c r="A779" s="2"/>
      <c r="B779" s="2"/>
      <c r="C779" s="2"/>
      <c r="D779" s="2"/>
      <c r="E779" s="2"/>
      <c r="F779" s="2"/>
    </row>
    <row r="780">
      <c r="A780" s="2"/>
      <c r="B780" s="2"/>
      <c r="C780" s="2"/>
      <c r="D780" s="2"/>
      <c r="E780" s="2"/>
      <c r="F780" s="2"/>
    </row>
    <row r="781">
      <c r="A781" s="2"/>
      <c r="B781" s="2"/>
      <c r="C781" s="2"/>
      <c r="D781" s="2"/>
      <c r="E781" s="2"/>
      <c r="F781" s="2"/>
    </row>
    <row r="782">
      <c r="A782" s="2"/>
      <c r="B782" s="2"/>
      <c r="C782" s="2"/>
      <c r="D782" s="2"/>
      <c r="E782" s="2"/>
      <c r="F782" s="2"/>
    </row>
    <row r="783">
      <c r="A783" s="2"/>
      <c r="B783" s="2"/>
      <c r="C783" s="2"/>
      <c r="D783" s="2"/>
      <c r="E783" s="2"/>
      <c r="F783" s="2"/>
    </row>
    <row r="784">
      <c r="A784" s="2"/>
      <c r="B784" s="2"/>
      <c r="C784" s="2"/>
      <c r="D784" s="2"/>
      <c r="E784" s="2"/>
      <c r="F784" s="2"/>
    </row>
    <row r="785">
      <c r="A785" s="2"/>
      <c r="B785" s="2"/>
      <c r="C785" s="2"/>
      <c r="D785" s="2"/>
      <c r="E785" s="2"/>
      <c r="F785" s="2"/>
    </row>
    <row r="786">
      <c r="A786" s="2"/>
      <c r="B786" s="2"/>
      <c r="C786" s="2"/>
      <c r="D786" s="2"/>
      <c r="E786" s="2"/>
      <c r="F786" s="2"/>
    </row>
    <row r="787">
      <c r="A787" s="2"/>
      <c r="B787" s="2"/>
      <c r="C787" s="2"/>
      <c r="D787" s="2"/>
      <c r="E787" s="2"/>
      <c r="F787" s="2"/>
    </row>
    <row r="788">
      <c r="A788" s="2"/>
      <c r="B788" s="2"/>
      <c r="C788" s="2"/>
      <c r="D788" s="2"/>
      <c r="E788" s="2"/>
      <c r="F788" s="2"/>
    </row>
    <row r="789">
      <c r="A789" s="2"/>
      <c r="B789" s="2"/>
      <c r="C789" s="2"/>
      <c r="D789" s="2"/>
      <c r="E789" s="2"/>
      <c r="F789" s="2"/>
    </row>
    <row r="790">
      <c r="A790" s="2"/>
      <c r="B790" s="2"/>
      <c r="C790" s="2"/>
      <c r="D790" s="2"/>
      <c r="E790" s="2"/>
      <c r="F790" s="2"/>
    </row>
    <row r="791">
      <c r="A791" s="2"/>
      <c r="B791" s="2"/>
      <c r="C791" s="2"/>
      <c r="D791" s="2"/>
      <c r="E791" s="2"/>
      <c r="F791" s="2"/>
    </row>
    <row r="792">
      <c r="A792" s="2"/>
      <c r="B792" s="2"/>
      <c r="C792" s="2"/>
      <c r="D792" s="2"/>
      <c r="E792" s="2"/>
      <c r="F792" s="2"/>
    </row>
    <row r="793">
      <c r="A793" s="2"/>
      <c r="B793" s="2"/>
      <c r="C793" s="2"/>
      <c r="D793" s="2"/>
      <c r="E793" s="2"/>
      <c r="F793" s="2"/>
    </row>
    <row r="794">
      <c r="A794" s="2"/>
      <c r="B794" s="2"/>
      <c r="C794" s="2"/>
      <c r="D794" s="2"/>
      <c r="E794" s="2"/>
      <c r="F794" s="2"/>
    </row>
    <row r="795">
      <c r="A795" s="2"/>
      <c r="B795" s="2"/>
      <c r="C795" s="2"/>
      <c r="D795" s="2"/>
      <c r="E795" s="2"/>
      <c r="F795" s="2"/>
    </row>
    <row r="796">
      <c r="A796" s="2"/>
      <c r="B796" s="2"/>
      <c r="C796" s="2"/>
      <c r="D796" s="2"/>
      <c r="E796" s="2"/>
      <c r="F796" s="2"/>
    </row>
    <row r="797">
      <c r="A797" s="2"/>
      <c r="B797" s="2"/>
      <c r="C797" s="2"/>
      <c r="D797" s="2"/>
      <c r="E797" s="2"/>
      <c r="F797" s="2"/>
    </row>
    <row r="798">
      <c r="A798" s="2"/>
      <c r="B798" s="2"/>
      <c r="C798" s="2"/>
      <c r="D798" s="2"/>
      <c r="E798" s="2"/>
      <c r="F798" s="2"/>
    </row>
    <row r="799">
      <c r="A799" s="2"/>
      <c r="B799" s="2"/>
      <c r="C799" s="2"/>
      <c r="D799" s="2"/>
      <c r="E799" s="2"/>
      <c r="F799" s="2"/>
    </row>
    <row r="800">
      <c r="A800" s="2"/>
      <c r="B800" s="2"/>
      <c r="C800" s="2"/>
      <c r="D800" s="2"/>
      <c r="E800" s="2"/>
      <c r="F800" s="2"/>
    </row>
    <row r="801">
      <c r="A801" s="2"/>
      <c r="B801" s="2"/>
      <c r="C801" s="2"/>
      <c r="D801" s="2"/>
      <c r="E801" s="2"/>
      <c r="F801" s="2"/>
    </row>
    <row r="802">
      <c r="A802" s="2"/>
      <c r="B802" s="2"/>
      <c r="C802" s="2"/>
      <c r="D802" s="2"/>
      <c r="E802" s="2"/>
      <c r="F802" s="2"/>
    </row>
    <row r="803">
      <c r="A803" s="2"/>
      <c r="B803" s="2"/>
      <c r="C803" s="2"/>
      <c r="D803" s="2"/>
      <c r="E803" s="2"/>
      <c r="F803" s="2"/>
    </row>
    <row r="804">
      <c r="A804" s="2"/>
      <c r="B804" s="2"/>
      <c r="C804" s="2"/>
      <c r="D804" s="2"/>
      <c r="E804" s="2"/>
      <c r="F804" s="2"/>
    </row>
    <row r="805">
      <c r="A805" s="2"/>
      <c r="B805" s="2"/>
      <c r="C805" s="2"/>
      <c r="D805" s="2"/>
      <c r="E805" s="2"/>
      <c r="F805" s="2"/>
    </row>
    <row r="806">
      <c r="A806" s="2"/>
      <c r="B806" s="2"/>
      <c r="C806" s="2"/>
      <c r="D806" s="2"/>
      <c r="E806" s="2"/>
      <c r="F806" s="2"/>
    </row>
    <row r="807">
      <c r="A807" s="2"/>
      <c r="B807" s="2"/>
      <c r="C807" s="2"/>
      <c r="D807" s="2"/>
      <c r="E807" s="2"/>
      <c r="F807" s="2"/>
    </row>
    <row r="808">
      <c r="A808" s="2"/>
      <c r="B808" s="2"/>
      <c r="C808" s="2"/>
      <c r="D808" s="2"/>
      <c r="E808" s="2"/>
      <c r="F808" s="2"/>
    </row>
    <row r="809">
      <c r="A809" s="2"/>
      <c r="B809" s="2"/>
      <c r="C809" s="2"/>
      <c r="D809" s="2"/>
      <c r="E809" s="2"/>
      <c r="F809" s="2"/>
    </row>
    <row r="810">
      <c r="A810" s="2"/>
      <c r="B810" s="2"/>
      <c r="C810" s="2"/>
      <c r="D810" s="2"/>
      <c r="E810" s="2"/>
      <c r="F810" s="2"/>
    </row>
    <row r="811">
      <c r="A811" s="2"/>
      <c r="B811" s="2"/>
      <c r="C811" s="2"/>
      <c r="D811" s="2"/>
      <c r="E811" s="2"/>
      <c r="F811" s="2"/>
    </row>
    <row r="812">
      <c r="A812" s="2"/>
      <c r="B812" s="2"/>
      <c r="C812" s="2"/>
      <c r="D812" s="2"/>
      <c r="E812" s="2"/>
      <c r="F812" s="2"/>
    </row>
    <row r="813">
      <c r="A813" s="2"/>
      <c r="B813" s="2"/>
      <c r="C813" s="2"/>
      <c r="D813" s="2"/>
      <c r="E813" s="2"/>
      <c r="F813" s="2"/>
    </row>
    <row r="814">
      <c r="A814" s="2"/>
      <c r="B814" s="2"/>
      <c r="C814" s="2"/>
      <c r="D814" s="2"/>
      <c r="E814" s="2"/>
      <c r="F814" s="2"/>
    </row>
    <row r="815">
      <c r="A815" s="2"/>
      <c r="B815" s="2"/>
      <c r="C815" s="2"/>
      <c r="D815" s="2"/>
      <c r="E815" s="2"/>
      <c r="F815" s="2"/>
    </row>
    <row r="816">
      <c r="A816" s="2"/>
      <c r="B816" s="2"/>
      <c r="C816" s="2"/>
      <c r="D816" s="2"/>
      <c r="E816" s="2"/>
      <c r="F816" s="2"/>
    </row>
    <row r="817">
      <c r="A817" s="2"/>
      <c r="B817" s="2"/>
      <c r="C817" s="2"/>
      <c r="D817" s="2"/>
      <c r="E817" s="2"/>
      <c r="F817" s="2"/>
    </row>
    <row r="818">
      <c r="A818" s="2"/>
      <c r="B818" s="2"/>
      <c r="C818" s="2"/>
      <c r="D818" s="2"/>
      <c r="E818" s="2"/>
      <c r="F818" s="2"/>
    </row>
    <row r="819">
      <c r="A819" s="2"/>
      <c r="B819" s="2"/>
      <c r="C819" s="2"/>
      <c r="D819" s="2"/>
      <c r="E819" s="2"/>
      <c r="F819" s="2"/>
    </row>
    <row r="820">
      <c r="A820" s="2"/>
      <c r="B820" s="2"/>
      <c r="C820" s="2"/>
      <c r="D820" s="2"/>
      <c r="E820" s="2"/>
      <c r="F820" s="2"/>
    </row>
    <row r="821">
      <c r="A821" s="2"/>
      <c r="B821" s="2"/>
      <c r="C821" s="2"/>
      <c r="D821" s="2"/>
      <c r="E821" s="2"/>
      <c r="F821" s="2"/>
    </row>
    <row r="822">
      <c r="A822" s="2"/>
      <c r="B822" s="2"/>
      <c r="C822" s="2"/>
      <c r="D822" s="2"/>
      <c r="E822" s="2"/>
      <c r="F822" s="2"/>
    </row>
    <row r="823">
      <c r="A823" s="2"/>
      <c r="B823" s="2"/>
      <c r="C823" s="2"/>
      <c r="D823" s="2"/>
      <c r="E823" s="2"/>
      <c r="F823" s="2"/>
    </row>
    <row r="824">
      <c r="A824" s="2"/>
      <c r="B824" s="2"/>
      <c r="C824" s="2"/>
      <c r="D824" s="2"/>
      <c r="E824" s="2"/>
      <c r="F824" s="2"/>
    </row>
    <row r="825">
      <c r="A825" s="2"/>
      <c r="B825" s="2"/>
      <c r="C825" s="2"/>
      <c r="D825" s="2"/>
      <c r="E825" s="2"/>
      <c r="F825" s="2"/>
    </row>
    <row r="826">
      <c r="A826" s="2"/>
      <c r="B826" s="2"/>
      <c r="C826" s="2"/>
      <c r="D826" s="2"/>
      <c r="E826" s="2"/>
      <c r="F826" s="2"/>
    </row>
    <row r="827">
      <c r="A827" s="2"/>
      <c r="B827" s="2"/>
      <c r="C827" s="2"/>
      <c r="D827" s="2"/>
      <c r="E827" s="2"/>
      <c r="F827" s="2"/>
    </row>
    <row r="828">
      <c r="A828" s="2"/>
      <c r="B828" s="2"/>
      <c r="C828" s="2"/>
      <c r="D828" s="2"/>
      <c r="E828" s="2"/>
      <c r="F828" s="2"/>
    </row>
    <row r="829">
      <c r="A829" s="2"/>
      <c r="B829" s="2"/>
      <c r="C829" s="2"/>
      <c r="D829" s="2"/>
      <c r="E829" s="2"/>
      <c r="F829" s="2"/>
    </row>
    <row r="830">
      <c r="A830" s="2"/>
      <c r="B830" s="2"/>
      <c r="C830" s="2"/>
      <c r="D830" s="2"/>
      <c r="E830" s="2"/>
      <c r="F830" s="2"/>
    </row>
    <row r="831">
      <c r="A831" s="2"/>
      <c r="B831" s="2"/>
      <c r="C831" s="2"/>
      <c r="D831" s="2"/>
      <c r="E831" s="2"/>
      <c r="F831" s="2"/>
    </row>
    <row r="832">
      <c r="A832" s="2"/>
      <c r="B832" s="2"/>
      <c r="C832" s="2"/>
      <c r="D832" s="2"/>
      <c r="E832" s="2"/>
      <c r="F832" s="2"/>
    </row>
    <row r="833">
      <c r="A833" s="2"/>
      <c r="B833" s="2"/>
      <c r="C833" s="2"/>
      <c r="D833" s="2"/>
      <c r="E833" s="2"/>
      <c r="F833" s="2"/>
    </row>
    <row r="834">
      <c r="A834" s="2"/>
      <c r="B834" s="2"/>
      <c r="C834" s="2"/>
      <c r="D834" s="2"/>
      <c r="E834" s="2"/>
      <c r="F834" s="2"/>
    </row>
    <row r="835">
      <c r="A835" s="2"/>
      <c r="B835" s="2"/>
      <c r="C835" s="2"/>
      <c r="D835" s="2"/>
      <c r="E835" s="2"/>
      <c r="F835" s="2"/>
    </row>
    <row r="836">
      <c r="A836" s="2"/>
      <c r="B836" s="2"/>
      <c r="C836" s="2"/>
      <c r="D836" s="2"/>
      <c r="E836" s="2"/>
      <c r="F836" s="2"/>
    </row>
    <row r="837">
      <c r="A837" s="2"/>
      <c r="B837" s="2"/>
      <c r="C837" s="2"/>
      <c r="D837" s="2"/>
      <c r="E837" s="2"/>
      <c r="F837" s="2"/>
    </row>
    <row r="838">
      <c r="A838" s="2"/>
      <c r="B838" s="2"/>
      <c r="C838" s="2"/>
      <c r="D838" s="2"/>
      <c r="E838" s="2"/>
      <c r="F838" s="2"/>
    </row>
    <row r="839">
      <c r="A839" s="2"/>
      <c r="B839" s="2"/>
      <c r="C839" s="2"/>
      <c r="D839" s="2"/>
      <c r="E839" s="2"/>
      <c r="F839" s="2"/>
    </row>
    <row r="840">
      <c r="A840" s="2"/>
      <c r="B840" s="2"/>
      <c r="C840" s="2"/>
      <c r="D840" s="2"/>
      <c r="E840" s="2"/>
      <c r="F840" s="2"/>
    </row>
    <row r="841">
      <c r="A841" s="2"/>
      <c r="B841" s="2"/>
      <c r="C841" s="2"/>
      <c r="D841" s="2"/>
      <c r="E841" s="2"/>
      <c r="F841" s="2"/>
    </row>
    <row r="842">
      <c r="A842" s="2"/>
      <c r="B842" s="2"/>
      <c r="C842" s="2"/>
      <c r="D842" s="2"/>
      <c r="E842" s="2"/>
      <c r="F842" s="2"/>
    </row>
    <row r="843">
      <c r="A843" s="2"/>
      <c r="B843" s="2"/>
      <c r="C843" s="2"/>
      <c r="D843" s="2"/>
      <c r="E843" s="2"/>
      <c r="F843" s="2"/>
    </row>
    <row r="844">
      <c r="A844" s="2"/>
      <c r="B844" s="2"/>
      <c r="C844" s="2"/>
      <c r="D844" s="2"/>
      <c r="E844" s="2"/>
      <c r="F844" s="2"/>
    </row>
    <row r="845">
      <c r="A845" s="2"/>
      <c r="B845" s="2"/>
      <c r="C845" s="2"/>
      <c r="D845" s="2"/>
      <c r="E845" s="2"/>
      <c r="F845" s="2"/>
    </row>
    <row r="846">
      <c r="A846" s="2"/>
      <c r="B846" s="2"/>
      <c r="C846" s="2"/>
      <c r="D846" s="2"/>
      <c r="E846" s="2"/>
      <c r="F846" s="2"/>
    </row>
    <row r="847">
      <c r="A847" s="2"/>
      <c r="B847" s="2"/>
      <c r="C847" s="2"/>
      <c r="D847" s="2"/>
      <c r="E847" s="2"/>
      <c r="F847" s="2"/>
    </row>
    <row r="848">
      <c r="A848" s="2"/>
      <c r="B848" s="2"/>
      <c r="C848" s="2"/>
      <c r="D848" s="2"/>
      <c r="E848" s="2"/>
      <c r="F848" s="2"/>
    </row>
    <row r="849">
      <c r="A849" s="2"/>
      <c r="B849" s="2"/>
      <c r="C849" s="2"/>
      <c r="D849" s="2"/>
      <c r="E849" s="2"/>
      <c r="F849" s="2"/>
    </row>
    <row r="850">
      <c r="A850" s="2"/>
      <c r="B850" s="2"/>
      <c r="C850" s="2"/>
      <c r="D850" s="2"/>
      <c r="E850" s="2"/>
      <c r="F850" s="2"/>
    </row>
    <row r="851">
      <c r="A851" s="2"/>
      <c r="B851" s="2"/>
      <c r="C851" s="2"/>
      <c r="D851" s="2"/>
      <c r="E851" s="2"/>
      <c r="F851" s="2"/>
    </row>
    <row r="852">
      <c r="A852" s="2"/>
      <c r="B852" s="2"/>
      <c r="C852" s="2"/>
      <c r="D852" s="2"/>
      <c r="E852" s="2"/>
      <c r="F852" s="2"/>
    </row>
    <row r="853">
      <c r="A853" s="2"/>
      <c r="B853" s="2"/>
      <c r="C853" s="2"/>
      <c r="D853" s="2"/>
      <c r="E853" s="2"/>
      <c r="F853" s="2"/>
    </row>
    <row r="854">
      <c r="A854" s="2"/>
      <c r="B854" s="2"/>
      <c r="C854" s="2"/>
      <c r="D854" s="2"/>
      <c r="E854" s="2"/>
      <c r="F854" s="2"/>
    </row>
    <row r="855">
      <c r="A855" s="2"/>
      <c r="B855" s="2"/>
      <c r="C855" s="2"/>
      <c r="D855" s="2"/>
      <c r="E855" s="2"/>
      <c r="F855" s="2"/>
    </row>
    <row r="856">
      <c r="A856" s="2"/>
      <c r="B856" s="2"/>
      <c r="C856" s="2"/>
      <c r="D856" s="2"/>
      <c r="E856" s="2"/>
      <c r="F856" s="2"/>
    </row>
    <row r="857">
      <c r="A857" s="2"/>
      <c r="B857" s="2"/>
      <c r="C857" s="2"/>
      <c r="D857" s="2"/>
      <c r="E857" s="2"/>
      <c r="F857" s="2"/>
    </row>
    <row r="858">
      <c r="A858" s="2"/>
      <c r="B858" s="2"/>
      <c r="C858" s="2"/>
      <c r="D858" s="2"/>
      <c r="E858" s="2"/>
      <c r="F858" s="2"/>
    </row>
    <row r="859">
      <c r="A859" s="2"/>
      <c r="B859" s="2"/>
      <c r="C859" s="2"/>
      <c r="D859" s="2"/>
      <c r="E859" s="2"/>
      <c r="F859" s="2"/>
    </row>
    <row r="860">
      <c r="A860" s="2"/>
      <c r="B860" s="2"/>
      <c r="C860" s="2"/>
      <c r="D860" s="2"/>
      <c r="E860" s="2"/>
      <c r="F860" s="2"/>
    </row>
    <row r="861">
      <c r="A861" s="2"/>
      <c r="B861" s="2"/>
      <c r="C861" s="2"/>
      <c r="D861" s="2"/>
      <c r="E861" s="2"/>
      <c r="F861" s="2"/>
    </row>
    <row r="862">
      <c r="A862" s="2"/>
      <c r="B862" s="2"/>
      <c r="C862" s="2"/>
      <c r="D862" s="2"/>
      <c r="E862" s="2"/>
      <c r="F862" s="2"/>
    </row>
    <row r="863">
      <c r="A863" s="2"/>
      <c r="B863" s="2"/>
      <c r="C863" s="2"/>
      <c r="D863" s="2"/>
      <c r="E863" s="2"/>
      <c r="F863" s="2"/>
    </row>
    <row r="864">
      <c r="A864" s="2"/>
      <c r="B864" s="2"/>
      <c r="C864" s="2"/>
      <c r="D864" s="2"/>
      <c r="E864" s="2"/>
      <c r="F864" s="2"/>
    </row>
    <row r="865">
      <c r="A865" s="2"/>
      <c r="B865" s="2"/>
      <c r="C865" s="2"/>
      <c r="D865" s="2"/>
      <c r="E865" s="2"/>
      <c r="F865" s="2"/>
    </row>
    <row r="866">
      <c r="A866" s="2"/>
      <c r="B866" s="2"/>
      <c r="C866" s="2"/>
      <c r="D866" s="2"/>
      <c r="E866" s="2"/>
      <c r="F866" s="2"/>
    </row>
    <row r="867">
      <c r="A867" s="2"/>
      <c r="B867" s="2"/>
      <c r="C867" s="2"/>
      <c r="D867" s="2"/>
      <c r="E867" s="2"/>
      <c r="F867" s="2"/>
    </row>
    <row r="868">
      <c r="A868" s="2"/>
      <c r="B868" s="2"/>
      <c r="C868" s="2"/>
      <c r="D868" s="2"/>
      <c r="E868" s="2"/>
      <c r="F868" s="2"/>
    </row>
    <row r="869">
      <c r="A869" s="2"/>
      <c r="B869" s="2"/>
      <c r="C869" s="2"/>
      <c r="D869" s="2"/>
      <c r="E869" s="2"/>
      <c r="F869" s="2"/>
    </row>
    <row r="870">
      <c r="A870" s="2"/>
      <c r="B870" s="2"/>
      <c r="C870" s="2"/>
      <c r="D870" s="2"/>
      <c r="E870" s="2"/>
      <c r="F870" s="2"/>
    </row>
    <row r="871">
      <c r="A871" s="2"/>
      <c r="B871" s="2"/>
      <c r="C871" s="2"/>
      <c r="D871" s="2"/>
      <c r="E871" s="2"/>
      <c r="F871" s="2"/>
    </row>
    <row r="872">
      <c r="A872" s="2"/>
      <c r="B872" s="2"/>
      <c r="C872" s="2"/>
      <c r="D872" s="2"/>
      <c r="E872" s="2"/>
      <c r="F872" s="2"/>
    </row>
    <row r="873">
      <c r="A873" s="2"/>
      <c r="B873" s="2"/>
      <c r="C873" s="2"/>
      <c r="D873" s="2"/>
      <c r="E873" s="2"/>
      <c r="F873" s="2"/>
    </row>
    <row r="874">
      <c r="A874" s="2"/>
      <c r="B874" s="2"/>
      <c r="C874" s="2"/>
      <c r="D874" s="2"/>
      <c r="E874" s="2"/>
      <c r="F874" s="2"/>
    </row>
    <row r="875">
      <c r="A875" s="2"/>
      <c r="B875" s="2"/>
      <c r="C875" s="2"/>
      <c r="D875" s="2"/>
      <c r="E875" s="2"/>
      <c r="F875" s="2"/>
    </row>
    <row r="876">
      <c r="A876" s="2"/>
      <c r="B876" s="2"/>
      <c r="C876" s="2"/>
      <c r="D876" s="2"/>
      <c r="E876" s="2"/>
      <c r="F876" s="2"/>
    </row>
    <row r="877">
      <c r="A877" s="2"/>
      <c r="B877" s="2"/>
      <c r="C877" s="2"/>
      <c r="D877" s="2"/>
      <c r="E877" s="2"/>
      <c r="F877" s="2"/>
    </row>
    <row r="878">
      <c r="A878" s="2"/>
      <c r="B878" s="2"/>
      <c r="C878" s="2"/>
      <c r="D878" s="2"/>
      <c r="E878" s="2"/>
      <c r="F878" s="2"/>
    </row>
    <row r="879">
      <c r="A879" s="2"/>
      <c r="B879" s="2"/>
      <c r="C879" s="2"/>
      <c r="D879" s="2"/>
      <c r="E879" s="2"/>
      <c r="F879" s="2"/>
    </row>
    <row r="880">
      <c r="A880" s="2"/>
      <c r="B880" s="2"/>
      <c r="C880" s="2"/>
      <c r="D880" s="2"/>
      <c r="E880" s="2"/>
      <c r="F880" s="2"/>
    </row>
    <row r="881">
      <c r="A881" s="2"/>
      <c r="B881" s="2"/>
      <c r="C881" s="2"/>
      <c r="D881" s="2"/>
      <c r="E881" s="2"/>
      <c r="F881" s="2"/>
    </row>
    <row r="882">
      <c r="A882" s="2"/>
      <c r="B882" s="2"/>
      <c r="C882" s="2"/>
      <c r="D882" s="2"/>
      <c r="E882" s="2"/>
      <c r="F882" s="2"/>
    </row>
    <row r="883">
      <c r="A883" s="2"/>
      <c r="B883" s="2"/>
      <c r="C883" s="2"/>
      <c r="D883" s="2"/>
      <c r="E883" s="2"/>
      <c r="F883" s="2"/>
    </row>
    <row r="884">
      <c r="A884" s="2"/>
      <c r="B884" s="2"/>
      <c r="C884" s="2"/>
      <c r="D884" s="2"/>
      <c r="E884" s="2"/>
      <c r="F884" s="2"/>
    </row>
    <row r="885">
      <c r="A885" s="2"/>
      <c r="B885" s="2"/>
      <c r="C885" s="2"/>
      <c r="D885" s="2"/>
      <c r="E885" s="2"/>
      <c r="F885" s="2"/>
    </row>
    <row r="886">
      <c r="A886" s="2"/>
      <c r="B886" s="2"/>
      <c r="C886" s="2"/>
      <c r="D886" s="2"/>
      <c r="E886" s="2"/>
      <c r="F886" s="2"/>
    </row>
    <row r="887">
      <c r="A887" s="2"/>
      <c r="B887" s="2"/>
      <c r="C887" s="2"/>
      <c r="D887" s="2"/>
      <c r="E887" s="2"/>
      <c r="F887" s="2"/>
    </row>
    <row r="888">
      <c r="A888" s="2"/>
      <c r="B888" s="2"/>
      <c r="C888" s="2"/>
      <c r="D888" s="2"/>
      <c r="E888" s="2"/>
      <c r="F888" s="2"/>
    </row>
    <row r="889">
      <c r="A889" s="2"/>
      <c r="B889" s="2"/>
      <c r="C889" s="2"/>
      <c r="D889" s="2"/>
      <c r="E889" s="2"/>
      <c r="F889" s="2"/>
    </row>
    <row r="890">
      <c r="A890" s="2"/>
      <c r="B890" s="2"/>
      <c r="C890" s="2"/>
      <c r="D890" s="2"/>
      <c r="E890" s="2"/>
      <c r="F890" s="2"/>
    </row>
    <row r="891">
      <c r="A891" s="2"/>
      <c r="B891" s="2"/>
      <c r="C891" s="2"/>
      <c r="D891" s="2"/>
      <c r="E891" s="2"/>
      <c r="F891" s="2"/>
    </row>
    <row r="892">
      <c r="A892" s="2"/>
      <c r="B892" s="2"/>
      <c r="C892" s="2"/>
      <c r="D892" s="2"/>
      <c r="E892" s="2"/>
      <c r="F892" s="2"/>
    </row>
    <row r="893">
      <c r="A893" s="2"/>
      <c r="B893" s="2"/>
      <c r="C893" s="2"/>
      <c r="D893" s="2"/>
      <c r="E893" s="2"/>
      <c r="F893" s="2"/>
    </row>
    <row r="894">
      <c r="A894" s="2"/>
      <c r="B894" s="2"/>
      <c r="C894" s="2"/>
      <c r="D894" s="2"/>
      <c r="E894" s="2"/>
      <c r="F894" s="2"/>
    </row>
    <row r="895">
      <c r="A895" s="2"/>
      <c r="B895" s="2"/>
      <c r="C895" s="2"/>
      <c r="D895" s="2"/>
      <c r="E895" s="2"/>
      <c r="F895" s="2"/>
    </row>
    <row r="896">
      <c r="A896" s="2"/>
      <c r="B896" s="2"/>
      <c r="C896" s="2"/>
      <c r="D896" s="2"/>
      <c r="E896" s="2"/>
      <c r="F896" s="2"/>
    </row>
    <row r="897">
      <c r="A897" s="2"/>
      <c r="B897" s="2"/>
      <c r="C897" s="2"/>
      <c r="D897" s="2"/>
      <c r="E897" s="2"/>
      <c r="F897" s="2"/>
    </row>
    <row r="898">
      <c r="A898" s="2"/>
      <c r="B898" s="2"/>
      <c r="C898" s="2"/>
      <c r="D898" s="2"/>
      <c r="E898" s="2"/>
      <c r="F898" s="2"/>
    </row>
    <row r="899">
      <c r="A899" s="2"/>
      <c r="B899" s="2"/>
      <c r="C899" s="2"/>
      <c r="D899" s="2"/>
      <c r="E899" s="2"/>
      <c r="F899" s="2"/>
    </row>
    <row r="900">
      <c r="A900" s="2"/>
      <c r="B900" s="2"/>
      <c r="C900" s="2"/>
      <c r="D900" s="2"/>
      <c r="E900" s="2"/>
      <c r="F900" s="2"/>
    </row>
    <row r="901">
      <c r="A901" s="2"/>
      <c r="B901" s="2"/>
      <c r="C901" s="2"/>
      <c r="D901" s="2"/>
      <c r="E901" s="2"/>
      <c r="F901" s="2"/>
    </row>
    <row r="902">
      <c r="A902" s="2"/>
      <c r="B902" s="2"/>
      <c r="C902" s="2"/>
      <c r="D902" s="2"/>
      <c r="E902" s="2"/>
      <c r="F902" s="2"/>
    </row>
    <row r="903">
      <c r="A903" s="2"/>
      <c r="B903" s="2"/>
      <c r="C903" s="2"/>
      <c r="D903" s="2"/>
      <c r="E903" s="2"/>
      <c r="F903" s="2"/>
    </row>
    <row r="904">
      <c r="A904" s="2"/>
      <c r="B904" s="2"/>
      <c r="C904" s="2"/>
      <c r="D904" s="2"/>
      <c r="E904" s="2"/>
      <c r="F904" s="2"/>
    </row>
    <row r="905">
      <c r="A905" s="2"/>
      <c r="B905" s="2"/>
      <c r="C905" s="2"/>
      <c r="D905" s="2"/>
      <c r="E905" s="2"/>
      <c r="F905" s="2"/>
    </row>
    <row r="906">
      <c r="A906" s="2"/>
      <c r="B906" s="2"/>
      <c r="C906" s="2"/>
      <c r="D906" s="2"/>
      <c r="E906" s="2"/>
      <c r="F906" s="2"/>
    </row>
    <row r="907">
      <c r="A907" s="2"/>
      <c r="B907" s="2"/>
      <c r="C907" s="2"/>
      <c r="D907" s="2"/>
      <c r="E907" s="2"/>
      <c r="F907" s="2"/>
    </row>
    <row r="908">
      <c r="A908" s="2"/>
      <c r="B908" s="2"/>
      <c r="C908" s="2"/>
      <c r="D908" s="2"/>
      <c r="E908" s="2"/>
      <c r="F908" s="2"/>
    </row>
    <row r="909">
      <c r="A909" s="2"/>
      <c r="B909" s="2"/>
      <c r="C909" s="2"/>
      <c r="D909" s="2"/>
      <c r="E909" s="2"/>
      <c r="F909" s="2"/>
    </row>
    <row r="910">
      <c r="A910" s="2"/>
      <c r="B910" s="2"/>
      <c r="C910" s="2"/>
      <c r="D910" s="2"/>
      <c r="E910" s="2"/>
      <c r="F910" s="2"/>
    </row>
    <row r="911">
      <c r="A911" s="2"/>
      <c r="B911" s="2"/>
      <c r="C911" s="2"/>
      <c r="D911" s="2"/>
      <c r="E911" s="2"/>
      <c r="F911" s="2"/>
    </row>
    <row r="912">
      <c r="A912" s="2"/>
      <c r="B912" s="2"/>
      <c r="C912" s="2"/>
      <c r="D912" s="2"/>
      <c r="E912" s="2"/>
      <c r="F912" s="2"/>
    </row>
    <row r="913">
      <c r="A913" s="2"/>
      <c r="B913" s="2"/>
      <c r="C913" s="2"/>
      <c r="D913" s="2"/>
      <c r="E913" s="2"/>
      <c r="F913" s="2"/>
    </row>
    <row r="914">
      <c r="A914" s="2"/>
      <c r="B914" s="2"/>
      <c r="C914" s="2"/>
      <c r="D914" s="2"/>
      <c r="E914" s="2"/>
      <c r="F914" s="2"/>
    </row>
    <row r="915">
      <c r="A915" s="2"/>
      <c r="B915" s="2"/>
      <c r="C915" s="2"/>
      <c r="D915" s="2"/>
      <c r="E915" s="2"/>
      <c r="F915" s="2"/>
    </row>
    <row r="916">
      <c r="A916" s="2"/>
      <c r="B916" s="2"/>
      <c r="C916" s="2"/>
      <c r="D916" s="2"/>
      <c r="E916" s="2"/>
      <c r="F916" s="2"/>
    </row>
    <row r="917">
      <c r="A917" s="2"/>
      <c r="B917" s="2"/>
      <c r="C917" s="2"/>
      <c r="D917" s="2"/>
      <c r="E917" s="2"/>
      <c r="F917" s="2"/>
    </row>
    <row r="918">
      <c r="A918" s="2"/>
      <c r="B918" s="2"/>
      <c r="C918" s="2"/>
      <c r="D918" s="2"/>
      <c r="E918" s="2"/>
      <c r="F918" s="2"/>
    </row>
    <row r="919">
      <c r="A919" s="2"/>
      <c r="B919" s="2"/>
      <c r="C919" s="2"/>
      <c r="D919" s="2"/>
      <c r="E919" s="2"/>
      <c r="F919" s="2"/>
    </row>
    <row r="920">
      <c r="A920" s="2"/>
      <c r="B920" s="2"/>
      <c r="C920" s="2"/>
      <c r="D920" s="2"/>
      <c r="E920" s="2"/>
      <c r="F920" s="2"/>
    </row>
    <row r="921">
      <c r="A921" s="2"/>
      <c r="B921" s="2"/>
      <c r="C921" s="2"/>
      <c r="D921" s="2"/>
      <c r="E921" s="2"/>
      <c r="F921" s="2"/>
    </row>
    <row r="922">
      <c r="A922" s="2"/>
      <c r="B922" s="2"/>
      <c r="C922" s="2"/>
      <c r="D922" s="2"/>
      <c r="E922" s="2"/>
      <c r="F922" s="2"/>
    </row>
    <row r="923">
      <c r="A923" s="2"/>
      <c r="B923" s="2"/>
      <c r="C923" s="2"/>
      <c r="D923" s="2"/>
      <c r="E923" s="2"/>
      <c r="F923" s="2"/>
    </row>
    <row r="924">
      <c r="A924" s="2"/>
      <c r="B924" s="2"/>
      <c r="C924" s="2"/>
      <c r="D924" s="2"/>
      <c r="E924" s="2"/>
      <c r="F924" s="2"/>
    </row>
    <row r="925">
      <c r="A925" s="2"/>
      <c r="B925" s="2"/>
      <c r="C925" s="2"/>
      <c r="D925" s="2"/>
      <c r="E925" s="2"/>
      <c r="F925" s="2"/>
    </row>
    <row r="926">
      <c r="A926" s="2"/>
      <c r="B926" s="2"/>
      <c r="C926" s="2"/>
      <c r="D926" s="2"/>
      <c r="E926" s="2"/>
      <c r="F926" s="2"/>
    </row>
    <row r="927">
      <c r="A927" s="2"/>
      <c r="B927" s="2"/>
      <c r="C927" s="2"/>
      <c r="D927" s="2"/>
      <c r="E927" s="2"/>
      <c r="F927" s="2"/>
    </row>
    <row r="928">
      <c r="A928" s="2"/>
      <c r="B928" s="2"/>
      <c r="C928" s="2"/>
      <c r="D928" s="2"/>
      <c r="E928" s="2"/>
      <c r="F928" s="2"/>
    </row>
    <row r="929">
      <c r="A929" s="2"/>
      <c r="B929" s="2"/>
      <c r="C929" s="2"/>
      <c r="D929" s="2"/>
      <c r="E929" s="2"/>
      <c r="F929" s="2"/>
    </row>
    <row r="930">
      <c r="A930" s="2"/>
      <c r="B930" s="2"/>
      <c r="C930" s="2"/>
      <c r="D930" s="2"/>
      <c r="E930" s="2"/>
      <c r="F930" s="2"/>
    </row>
    <row r="931">
      <c r="A931" s="2"/>
      <c r="B931" s="2"/>
      <c r="C931" s="2"/>
      <c r="D931" s="2"/>
      <c r="E931" s="2"/>
      <c r="F931" s="2"/>
    </row>
    <row r="932">
      <c r="A932" s="2"/>
      <c r="B932" s="2"/>
      <c r="C932" s="2"/>
      <c r="D932" s="2"/>
      <c r="E932" s="2"/>
      <c r="F932" s="2"/>
    </row>
    <row r="933">
      <c r="A933" s="2"/>
      <c r="B933" s="2"/>
      <c r="C933" s="2"/>
      <c r="D933" s="2"/>
      <c r="E933" s="2"/>
      <c r="F933" s="2"/>
    </row>
    <row r="934">
      <c r="A934" s="2"/>
      <c r="B934" s="2"/>
      <c r="C934" s="2"/>
      <c r="D934" s="2"/>
      <c r="E934" s="2"/>
      <c r="F934" s="2"/>
    </row>
    <row r="935">
      <c r="A935" s="2"/>
      <c r="B935" s="2"/>
      <c r="C935" s="2"/>
      <c r="D935" s="2"/>
      <c r="E935" s="2"/>
      <c r="F935" s="2"/>
    </row>
    <row r="936">
      <c r="A936" s="2"/>
      <c r="B936" s="2"/>
      <c r="C936" s="2"/>
      <c r="D936" s="2"/>
      <c r="E936" s="2"/>
      <c r="F936" s="2"/>
    </row>
    <row r="937">
      <c r="A937" s="2"/>
      <c r="B937" s="2"/>
      <c r="C937" s="2"/>
      <c r="D937" s="2"/>
      <c r="E937" s="2"/>
      <c r="F937" s="2"/>
    </row>
    <row r="938">
      <c r="A938" s="2"/>
      <c r="B938" s="2"/>
      <c r="C938" s="2"/>
      <c r="D938" s="2"/>
      <c r="E938" s="2"/>
      <c r="F938" s="2"/>
    </row>
    <row r="939">
      <c r="A939" s="2"/>
      <c r="B939" s="2"/>
      <c r="C939" s="2"/>
      <c r="D939" s="2"/>
      <c r="E939" s="2"/>
      <c r="F939" s="2"/>
    </row>
    <row r="940">
      <c r="A940" s="2"/>
      <c r="B940" s="2"/>
      <c r="C940" s="2"/>
      <c r="D940" s="2"/>
      <c r="E940" s="2"/>
      <c r="F940" s="2"/>
    </row>
    <row r="941">
      <c r="A941" s="2"/>
      <c r="B941" s="2"/>
      <c r="C941" s="2"/>
      <c r="D941" s="2"/>
      <c r="E941" s="2"/>
      <c r="F941" s="2"/>
    </row>
    <row r="942">
      <c r="A942" s="2"/>
      <c r="B942" s="2"/>
      <c r="C942" s="2"/>
      <c r="D942" s="2"/>
      <c r="E942" s="2"/>
      <c r="F942" s="2"/>
    </row>
    <row r="943">
      <c r="A943" s="2"/>
      <c r="B943" s="2"/>
      <c r="C943" s="2"/>
      <c r="D943" s="2"/>
      <c r="E943" s="2"/>
      <c r="F943" s="2"/>
    </row>
    <row r="944">
      <c r="A944" s="2"/>
      <c r="B944" s="2"/>
      <c r="C944" s="2"/>
      <c r="D944" s="2"/>
      <c r="E944" s="2"/>
      <c r="F944" s="2"/>
    </row>
    <row r="945">
      <c r="A945" s="2"/>
      <c r="B945" s="2"/>
      <c r="C945" s="2"/>
      <c r="D945" s="2"/>
      <c r="E945" s="2"/>
      <c r="F945" s="2"/>
    </row>
    <row r="946">
      <c r="A946" s="2"/>
      <c r="B946" s="2"/>
      <c r="C946" s="2"/>
      <c r="D946" s="2"/>
      <c r="E946" s="2"/>
      <c r="F946" s="2"/>
    </row>
    <row r="947">
      <c r="A947" s="2"/>
      <c r="B947" s="2"/>
      <c r="C947" s="2"/>
      <c r="D947" s="2"/>
      <c r="E947" s="2"/>
      <c r="F947" s="2"/>
    </row>
    <row r="948">
      <c r="A948" s="2"/>
      <c r="B948" s="2"/>
      <c r="C948" s="2"/>
      <c r="D948" s="2"/>
      <c r="E948" s="2"/>
      <c r="F948" s="2"/>
    </row>
    <row r="949">
      <c r="A949" s="2"/>
      <c r="B949" s="2"/>
      <c r="C949" s="2"/>
      <c r="D949" s="2"/>
      <c r="E949" s="2"/>
      <c r="F949" s="2"/>
    </row>
    <row r="950">
      <c r="A950" s="2"/>
      <c r="B950" s="2"/>
      <c r="C950" s="2"/>
      <c r="D950" s="2"/>
      <c r="E950" s="2"/>
      <c r="F950" s="2"/>
    </row>
    <row r="951">
      <c r="A951" s="2"/>
      <c r="B951" s="2"/>
      <c r="C951" s="2"/>
      <c r="D951" s="2"/>
      <c r="E951" s="2"/>
      <c r="F951" s="2"/>
    </row>
    <row r="952">
      <c r="A952" s="2"/>
      <c r="B952" s="2"/>
      <c r="C952" s="2"/>
      <c r="D952" s="2"/>
      <c r="E952" s="2"/>
      <c r="F952" s="2"/>
    </row>
    <row r="953">
      <c r="A953" s="2"/>
      <c r="B953" s="2"/>
      <c r="C953" s="2"/>
      <c r="D953" s="2"/>
      <c r="E953" s="2"/>
      <c r="F953" s="2"/>
    </row>
    <row r="954">
      <c r="A954" s="2"/>
      <c r="B954" s="2"/>
      <c r="C954" s="2"/>
      <c r="D954" s="2"/>
      <c r="E954" s="2"/>
      <c r="F954" s="2"/>
    </row>
    <row r="955">
      <c r="A955" s="2"/>
      <c r="B955" s="2"/>
      <c r="C955" s="2"/>
      <c r="D955" s="2"/>
      <c r="E955" s="2"/>
      <c r="F955" s="2"/>
    </row>
    <row r="956">
      <c r="A956" s="2"/>
      <c r="B956" s="2"/>
      <c r="C956" s="2"/>
      <c r="D956" s="2"/>
      <c r="E956" s="2"/>
      <c r="F956" s="2"/>
    </row>
    <row r="957">
      <c r="A957" s="2"/>
      <c r="B957" s="2"/>
      <c r="C957" s="2"/>
      <c r="D957" s="2"/>
      <c r="E957" s="2"/>
      <c r="F957" s="2"/>
    </row>
    <row r="958">
      <c r="A958" s="2"/>
      <c r="B958" s="2"/>
      <c r="C958" s="2"/>
      <c r="D958" s="2"/>
      <c r="E958" s="2"/>
      <c r="F958" s="2"/>
    </row>
    <row r="959">
      <c r="A959" s="2"/>
      <c r="B959" s="2"/>
      <c r="C959" s="2"/>
      <c r="D959" s="2"/>
      <c r="E959" s="2"/>
      <c r="F959" s="2"/>
    </row>
    <row r="960">
      <c r="A960" s="2"/>
      <c r="B960" s="2"/>
      <c r="C960" s="2"/>
      <c r="D960" s="2"/>
      <c r="E960" s="2"/>
      <c r="F960" s="2"/>
    </row>
    <row r="961">
      <c r="A961" s="2"/>
      <c r="B961" s="2"/>
      <c r="C961" s="2"/>
      <c r="D961" s="2"/>
      <c r="E961" s="2"/>
      <c r="F961" s="2"/>
    </row>
    <row r="962">
      <c r="A962" s="2"/>
      <c r="B962" s="2"/>
      <c r="C962" s="2"/>
      <c r="D962" s="2"/>
      <c r="E962" s="2"/>
      <c r="F962" s="2"/>
    </row>
    <row r="963">
      <c r="A963" s="2"/>
      <c r="B963" s="2"/>
      <c r="C963" s="2"/>
      <c r="D963" s="2"/>
      <c r="E963" s="2"/>
      <c r="F963" s="2"/>
    </row>
    <row r="964">
      <c r="A964" s="2"/>
      <c r="B964" s="2"/>
      <c r="C964" s="2"/>
      <c r="D964" s="2"/>
      <c r="E964" s="2"/>
      <c r="F964" s="2"/>
    </row>
    <row r="965">
      <c r="A965" s="2"/>
      <c r="B965" s="2"/>
      <c r="C965" s="2"/>
      <c r="D965" s="2"/>
      <c r="E965" s="2"/>
      <c r="F965" s="2"/>
    </row>
    <row r="966">
      <c r="A966" s="2"/>
      <c r="B966" s="2"/>
      <c r="C966" s="2"/>
      <c r="D966" s="2"/>
      <c r="E966" s="2"/>
      <c r="F966" s="2"/>
    </row>
    <row r="967">
      <c r="A967" s="2"/>
      <c r="B967" s="2"/>
      <c r="C967" s="2"/>
      <c r="D967" s="2"/>
      <c r="E967" s="2"/>
      <c r="F967" s="2"/>
    </row>
    <row r="968">
      <c r="A968" s="2"/>
      <c r="B968" s="2"/>
      <c r="C968" s="2"/>
      <c r="D968" s="2"/>
      <c r="E968" s="2"/>
      <c r="F968" s="2"/>
    </row>
    <row r="969">
      <c r="A969" s="2"/>
      <c r="B969" s="2"/>
      <c r="C969" s="2"/>
      <c r="D969" s="2"/>
      <c r="E969" s="2"/>
      <c r="F969" s="2"/>
    </row>
    <row r="970">
      <c r="A970" s="2"/>
      <c r="B970" s="2"/>
      <c r="C970" s="2"/>
      <c r="D970" s="2"/>
      <c r="E970" s="2"/>
      <c r="F970" s="2"/>
    </row>
    <row r="971">
      <c r="A971" s="2"/>
      <c r="B971" s="2"/>
      <c r="C971" s="2"/>
      <c r="D971" s="2"/>
      <c r="E971" s="2"/>
      <c r="F971" s="2"/>
    </row>
    <row r="972">
      <c r="A972" s="2"/>
      <c r="B972" s="2"/>
      <c r="C972" s="2"/>
      <c r="D972" s="2"/>
      <c r="E972" s="2"/>
      <c r="F972" s="2"/>
    </row>
    <row r="973">
      <c r="A973" s="2"/>
      <c r="B973" s="2"/>
      <c r="C973" s="2"/>
      <c r="D973" s="2"/>
      <c r="E973" s="2"/>
      <c r="F973" s="2"/>
    </row>
    <row r="974">
      <c r="A974" s="2"/>
      <c r="B974" s="2"/>
      <c r="C974" s="2"/>
      <c r="D974" s="2"/>
      <c r="E974" s="2"/>
      <c r="F974" s="2"/>
    </row>
    <row r="975">
      <c r="A975" s="2"/>
      <c r="B975" s="2"/>
      <c r="C975" s="2"/>
      <c r="D975" s="2"/>
      <c r="E975" s="2"/>
      <c r="F975" s="2"/>
    </row>
    <row r="976">
      <c r="A976" s="2"/>
      <c r="B976" s="2"/>
      <c r="C976" s="2"/>
      <c r="D976" s="2"/>
      <c r="E976" s="2"/>
      <c r="F976" s="2"/>
    </row>
    <row r="977">
      <c r="A977" s="2"/>
      <c r="B977" s="2"/>
      <c r="C977" s="2"/>
      <c r="D977" s="2"/>
      <c r="E977" s="2"/>
      <c r="F977" s="2"/>
    </row>
    <row r="978">
      <c r="A978" s="2"/>
      <c r="B978" s="2"/>
      <c r="C978" s="2"/>
      <c r="D978" s="2"/>
      <c r="E978" s="2"/>
      <c r="F978" s="2"/>
    </row>
    <row r="979">
      <c r="A979" s="2"/>
      <c r="B979" s="2"/>
      <c r="C979" s="2"/>
      <c r="D979" s="2"/>
      <c r="E979" s="2"/>
      <c r="F979" s="2"/>
    </row>
    <row r="980">
      <c r="A980" s="2"/>
      <c r="B980" s="2"/>
      <c r="C980" s="2"/>
      <c r="D980" s="2"/>
      <c r="E980" s="2"/>
      <c r="F980" s="2"/>
    </row>
    <row r="981">
      <c r="A981" s="2"/>
      <c r="B981" s="2"/>
      <c r="C981" s="2"/>
      <c r="D981" s="2"/>
      <c r="E981" s="2"/>
      <c r="F981" s="2"/>
    </row>
    <row r="982">
      <c r="A982" s="2"/>
      <c r="B982" s="2"/>
      <c r="C982" s="2"/>
      <c r="D982" s="2"/>
      <c r="E982" s="2"/>
      <c r="F982" s="2"/>
    </row>
    <row r="983">
      <c r="A983" s="2"/>
      <c r="B983" s="2"/>
      <c r="C983" s="2"/>
      <c r="D983" s="2"/>
      <c r="E983" s="2"/>
      <c r="F983" s="2"/>
    </row>
    <row r="984">
      <c r="A984" s="2"/>
      <c r="B984" s="2"/>
      <c r="C984" s="2"/>
      <c r="D984" s="2"/>
      <c r="E984" s="2"/>
      <c r="F984" s="2"/>
    </row>
    <row r="985">
      <c r="A985" s="2"/>
      <c r="B985" s="2"/>
      <c r="C985" s="2"/>
      <c r="D985" s="2"/>
      <c r="E985" s="2"/>
      <c r="F985" s="2"/>
    </row>
    <row r="986">
      <c r="A986" s="2"/>
      <c r="B986" s="2"/>
      <c r="C986" s="2"/>
      <c r="D986" s="2"/>
      <c r="E986" s="2"/>
      <c r="F986" s="2"/>
    </row>
    <row r="987">
      <c r="A987" s="2"/>
      <c r="B987" s="2"/>
      <c r="C987" s="2"/>
      <c r="D987" s="2"/>
      <c r="E987" s="2"/>
      <c r="F987" s="2"/>
    </row>
    <row r="988">
      <c r="A988" s="2"/>
      <c r="B988" s="2"/>
      <c r="C988" s="2"/>
      <c r="D988" s="2"/>
      <c r="E988" s="2"/>
      <c r="F988" s="2"/>
    </row>
    <row r="989">
      <c r="A989" s="2"/>
      <c r="B989" s="2"/>
      <c r="C989" s="2"/>
      <c r="D989" s="2"/>
      <c r="E989" s="2"/>
      <c r="F989" s="2"/>
    </row>
    <row r="990">
      <c r="A990" s="2"/>
      <c r="B990" s="2"/>
      <c r="C990" s="2"/>
      <c r="D990" s="2"/>
      <c r="E990" s="2"/>
      <c r="F990" s="2"/>
    </row>
    <row r="991">
      <c r="A991" s="2"/>
      <c r="B991" s="2"/>
      <c r="C991" s="2"/>
      <c r="D991" s="2"/>
      <c r="E991" s="2"/>
      <c r="F991" s="2"/>
    </row>
    <row r="992">
      <c r="A992" s="2"/>
      <c r="B992" s="2"/>
      <c r="C992" s="2"/>
      <c r="D992" s="2"/>
      <c r="E992" s="2"/>
      <c r="F992" s="2"/>
    </row>
    <row r="993">
      <c r="A993" s="2"/>
      <c r="B993" s="2"/>
      <c r="C993" s="2"/>
      <c r="D993" s="2"/>
      <c r="E993" s="2"/>
      <c r="F993" s="2"/>
    </row>
    <row r="994">
      <c r="A994" s="2"/>
      <c r="B994" s="2"/>
      <c r="C994" s="2"/>
      <c r="D994" s="2"/>
      <c r="E994" s="2"/>
      <c r="F994" s="2"/>
    </row>
    <row r="995">
      <c r="A995" s="2"/>
      <c r="B995" s="2"/>
      <c r="C995" s="2"/>
      <c r="D995" s="2"/>
      <c r="E995" s="2"/>
      <c r="F995" s="2"/>
    </row>
    <row r="996">
      <c r="A996" s="2"/>
      <c r="B996" s="2"/>
      <c r="C996" s="2"/>
      <c r="D996" s="2"/>
      <c r="E996" s="2"/>
      <c r="F996" s="2"/>
    </row>
    <row r="997">
      <c r="A997" s="2"/>
      <c r="B997" s="2"/>
      <c r="C997" s="2"/>
      <c r="D997" s="2"/>
      <c r="E997" s="2"/>
      <c r="F997" s="2"/>
    </row>
    <row r="998">
      <c r="A998" s="2"/>
      <c r="B998" s="2"/>
      <c r="C998" s="2"/>
      <c r="D998" s="2"/>
      <c r="E998" s="2"/>
      <c r="F998" s="2"/>
    </row>
    <row r="999">
      <c r="A999" s="2"/>
      <c r="B999" s="2"/>
      <c r="C999" s="2"/>
      <c r="D999" s="2"/>
      <c r="E999" s="2"/>
      <c r="F999" s="2"/>
    </row>
    <row r="1000">
      <c r="A1000" s="2"/>
      <c r="B1000" s="2"/>
      <c r="C1000" s="2"/>
      <c r="D1000" s="2"/>
      <c r="E1000" s="2"/>
      <c r="F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6" max="6" width="28.88"/>
  </cols>
  <sheetData>
    <row r="1">
      <c r="A1" s="2" t="str">
        <f>IFERROR(__xludf.DUMMYFUNCTION("IMPORTRANGE(""1bCYHFuGRMdn7AM0-kFAGZf5lF2I-tWRleeAxNWvM5uY"", ""'pre-scheduled'!A:F"")"),"Course")</f>
        <v>Course</v>
      </c>
      <c r="B1" s="5" t="str">
        <f>IFERROR(__xludf.DUMMYFUNCTION("""COMPUTED_VALUE"""),"Section ")</f>
        <v>Section </v>
      </c>
      <c r="C1" s="2" t="str">
        <f>IFERROR(__xludf.DUMMYFUNCTION("""COMPUTED_VALUE"""),"Instructor")</f>
        <v>Instructor</v>
      </c>
      <c r="D1" s="2" t="str">
        <f>IFERROR(__xludf.DUMMYFUNCTION("""COMPUTED_VALUE"""),"Capacity")</f>
        <v>Capacity</v>
      </c>
      <c r="E1" s="2" t="str">
        <f>IFERROR(__xludf.DUMMYFUNCTION("""COMPUTED_VALUE"""),"Day")</f>
        <v>Day</v>
      </c>
      <c r="F1" s="2" t="str">
        <f>IFERROR(__xludf.DUMMYFUNCTION("""COMPUTED_VALUE"""),"Time")</f>
        <v>Time</v>
      </c>
    </row>
    <row r="2">
      <c r="A2" s="2" t="str">
        <f>IFERROR(__xludf.DUMMYFUNCTION("""COMPUTED_VALUE"""),"CS280")</f>
        <v>CS280</v>
      </c>
      <c r="B2" s="5" t="str">
        <f>IFERROR(__xludf.DUMMYFUNCTION("""COMPUTED_VALUE"""),"001")</f>
        <v>001</v>
      </c>
      <c r="C2" s="2" t="str">
        <f>IFERROR(__xludf.DUMMYFUNCTION("""COMPUTED_VALUE"""),"Arafeh, Bassel")</f>
        <v>Arafeh, Bassel</v>
      </c>
      <c r="D2" s="2">
        <f>IFERROR(__xludf.DUMMYFUNCTION("""COMPUTED_VALUE"""),30.0)</f>
        <v>30</v>
      </c>
      <c r="E2" s="2" t="str">
        <f>IFERROR(__xludf.DUMMYFUNCTION("""COMPUTED_VALUE"""),"Tuesday")</f>
        <v>Tuesday</v>
      </c>
      <c r="F2" s="2" t="str">
        <f>IFERROR(__xludf.DUMMYFUNCTION("""COMPUTED_VALUE"""),"08:30am - 09:50am")</f>
        <v>08:30am - 09:50am</v>
      </c>
    </row>
    <row r="3">
      <c r="A3" s="2" t="str">
        <f>IFERROR(__xludf.DUMMYFUNCTION("""COMPUTED_VALUE"""),"CS280")</f>
        <v>CS280</v>
      </c>
      <c r="B3" s="5" t="str">
        <f>IFERROR(__xludf.DUMMYFUNCTION("""COMPUTED_VALUE"""),"001")</f>
        <v>001</v>
      </c>
      <c r="C3" s="2" t="str">
        <f>IFERROR(__xludf.DUMMYFUNCTION("""COMPUTED_VALUE"""),"Arafeh, Bassel")</f>
        <v>Arafeh, Bassel</v>
      </c>
      <c r="D3" s="2">
        <f>IFERROR(__xludf.DUMMYFUNCTION("""COMPUTED_VALUE"""),30.0)</f>
        <v>30</v>
      </c>
      <c r="E3" s="2" t="str">
        <f>IFERROR(__xludf.DUMMYFUNCTION("""COMPUTED_VALUE"""),"Thursday")</f>
        <v>Thursday</v>
      </c>
      <c r="F3" s="2" t="str">
        <f>IFERROR(__xludf.DUMMYFUNCTION("""COMPUTED_VALUE"""),"08:30am - 09:50am")</f>
        <v>08:30am - 09:50am</v>
      </c>
    </row>
    <row r="4">
      <c r="A4" s="2" t="str">
        <f>IFERROR(__xludf.DUMMYFUNCTION("""COMPUTED_VALUE"""),"CS280")</f>
        <v>CS280</v>
      </c>
      <c r="B4" s="5" t="str">
        <f>IFERROR(__xludf.DUMMYFUNCTION("""COMPUTED_VALUE"""),"003")</f>
        <v>003</v>
      </c>
      <c r="C4" s="2" t="str">
        <f>IFERROR(__xludf.DUMMYFUNCTION("""COMPUTED_VALUE"""),"Arafeh, Bassel")</f>
        <v>Arafeh, Bassel</v>
      </c>
      <c r="D4" s="2">
        <f>IFERROR(__xludf.DUMMYFUNCTION("""COMPUTED_VALUE"""),30.0)</f>
        <v>30</v>
      </c>
      <c r="E4" s="2" t="str">
        <f>IFERROR(__xludf.DUMMYFUNCTION("""COMPUTED_VALUE"""),"Tuesday")</f>
        <v>Tuesday</v>
      </c>
      <c r="F4" s="2" t="str">
        <f>IFERROR(__xludf.DUMMYFUNCTION("""COMPUTED_VALUE"""),"08:30am - 09:50am")</f>
        <v>08:30am - 09:50am</v>
      </c>
    </row>
    <row r="5">
      <c r="A5" s="2" t="str">
        <f>IFERROR(__xludf.DUMMYFUNCTION("""COMPUTED_VALUE"""),"CS280")</f>
        <v>CS280</v>
      </c>
      <c r="B5" s="5" t="str">
        <f>IFERROR(__xludf.DUMMYFUNCTION("""COMPUTED_VALUE"""),"003")</f>
        <v>003</v>
      </c>
      <c r="C5" s="2" t="str">
        <f>IFERROR(__xludf.DUMMYFUNCTION("""COMPUTED_VALUE"""),"Arafeh, Bassel")</f>
        <v>Arafeh, Bassel</v>
      </c>
      <c r="D5" s="2">
        <f>IFERROR(__xludf.DUMMYFUNCTION("""COMPUTED_VALUE"""),30.0)</f>
        <v>30</v>
      </c>
      <c r="E5" s="2" t="str">
        <f>IFERROR(__xludf.DUMMYFUNCTION("""COMPUTED_VALUE"""),"Thursday")</f>
        <v>Thursday</v>
      </c>
      <c r="F5" s="2" t="str">
        <f>IFERROR(__xludf.DUMMYFUNCTION("""COMPUTED_VALUE"""),"08:30am - 09:50am")</f>
        <v>08:30am - 09:50am</v>
      </c>
    </row>
    <row r="6">
      <c r="A6" s="2" t="str">
        <f>IFERROR(__xludf.DUMMYFUNCTION("""COMPUTED_VALUE"""),"CS280")</f>
        <v>CS280</v>
      </c>
      <c r="B6" s="5" t="str">
        <f>IFERROR(__xludf.DUMMYFUNCTION("""COMPUTED_VALUE"""),"005")</f>
        <v>005</v>
      </c>
      <c r="C6" s="2" t="str">
        <f>IFERROR(__xludf.DUMMYFUNCTION("""COMPUTED_VALUE"""),"Arafeh, Bassel")</f>
        <v>Arafeh, Bassel</v>
      </c>
      <c r="D6" s="2">
        <f>IFERROR(__xludf.DUMMYFUNCTION("""COMPUTED_VALUE"""),30.0)</f>
        <v>30</v>
      </c>
      <c r="E6" s="2" t="str">
        <f>IFERROR(__xludf.DUMMYFUNCTION("""COMPUTED_VALUE"""),"Tuesday")</f>
        <v>Tuesday</v>
      </c>
      <c r="F6" s="2" t="str">
        <f>IFERROR(__xludf.DUMMYFUNCTION("""COMPUTED_VALUE"""),"08:30am - 09:50am")</f>
        <v>08:30am - 09:50am</v>
      </c>
    </row>
    <row r="7">
      <c r="A7" s="2" t="str">
        <f>IFERROR(__xludf.DUMMYFUNCTION("""COMPUTED_VALUE"""),"CS280")</f>
        <v>CS280</v>
      </c>
      <c r="B7" s="5" t="str">
        <f>IFERROR(__xludf.DUMMYFUNCTION("""COMPUTED_VALUE"""),"005")</f>
        <v>005</v>
      </c>
      <c r="C7" s="2" t="str">
        <f>IFERROR(__xludf.DUMMYFUNCTION("""COMPUTED_VALUE"""),"Arafeh, Bassel")</f>
        <v>Arafeh, Bassel</v>
      </c>
      <c r="D7" s="2">
        <f>IFERROR(__xludf.DUMMYFUNCTION("""COMPUTED_VALUE"""),30.0)</f>
        <v>30</v>
      </c>
      <c r="E7" s="2" t="str">
        <f>IFERROR(__xludf.DUMMYFUNCTION("""COMPUTED_VALUE"""),"Thursday")</f>
        <v>Thursday</v>
      </c>
      <c r="F7" s="2" t="str">
        <f>IFERROR(__xludf.DUMMYFUNCTION("""COMPUTED_VALUE"""),"08:30am - 09:50am")</f>
        <v>08:30am - 09:50am</v>
      </c>
    </row>
    <row r="8">
      <c r="A8" s="2" t="str">
        <f>IFERROR(__xludf.DUMMYFUNCTION("""COMPUTED_VALUE"""),"CS280")</f>
        <v>CS280</v>
      </c>
      <c r="B8" s="5" t="str">
        <f>IFERROR(__xludf.DUMMYFUNCTION("""COMPUTED_VALUE"""),"007")</f>
        <v>007</v>
      </c>
      <c r="C8" s="2" t="str">
        <f>IFERROR(__xludf.DUMMYFUNCTION("""COMPUTED_VALUE"""),"Arafeh, Bassel")</f>
        <v>Arafeh, Bassel</v>
      </c>
      <c r="D8" s="2">
        <f>IFERROR(__xludf.DUMMYFUNCTION("""COMPUTED_VALUE"""),30.0)</f>
        <v>30</v>
      </c>
      <c r="E8" s="2" t="str">
        <f>IFERROR(__xludf.DUMMYFUNCTION("""COMPUTED_VALUE"""),"Tuesday")</f>
        <v>Tuesday</v>
      </c>
      <c r="F8" s="2" t="str">
        <f>IFERROR(__xludf.DUMMYFUNCTION("""COMPUTED_VALUE"""),"11:30am - 12:50pm")</f>
        <v>11:30am - 12:50pm</v>
      </c>
    </row>
    <row r="9">
      <c r="A9" s="2" t="str">
        <f>IFERROR(__xludf.DUMMYFUNCTION("""COMPUTED_VALUE"""),"CS280")</f>
        <v>CS280</v>
      </c>
      <c r="B9" s="5" t="str">
        <f>IFERROR(__xludf.DUMMYFUNCTION("""COMPUTED_VALUE"""),"007")</f>
        <v>007</v>
      </c>
      <c r="C9" s="2" t="str">
        <f>IFERROR(__xludf.DUMMYFUNCTION("""COMPUTED_VALUE"""),"Arafeh, Bassel")</f>
        <v>Arafeh, Bassel</v>
      </c>
      <c r="D9" s="2">
        <f>IFERROR(__xludf.DUMMYFUNCTION("""COMPUTED_VALUE"""),30.0)</f>
        <v>30</v>
      </c>
      <c r="E9" s="2" t="str">
        <f>IFERROR(__xludf.DUMMYFUNCTION("""COMPUTED_VALUE"""),"Thursday")</f>
        <v>Thursday</v>
      </c>
      <c r="F9" s="2" t="str">
        <f>IFERROR(__xludf.DUMMYFUNCTION("""COMPUTED_VALUE"""),"11:30am - 12:50pm")</f>
        <v>11:30am - 12:50pm</v>
      </c>
    </row>
    <row r="10">
      <c r="A10" s="2" t="str">
        <f>IFERROR(__xludf.DUMMYFUNCTION("""COMPUTED_VALUE"""),"CS280")</f>
        <v>CS280</v>
      </c>
      <c r="B10" s="5" t="str">
        <f>IFERROR(__xludf.DUMMYFUNCTION("""COMPUTED_VALUE"""),"009")</f>
        <v>009</v>
      </c>
      <c r="C10" s="2" t="str">
        <f>IFERROR(__xludf.DUMMYFUNCTION("""COMPUTED_VALUE"""),"Arafeh, Bassel")</f>
        <v>Arafeh, Bassel</v>
      </c>
      <c r="D10" s="2">
        <f>IFERROR(__xludf.DUMMYFUNCTION("""COMPUTED_VALUE"""),30.0)</f>
        <v>30</v>
      </c>
      <c r="E10" s="2" t="str">
        <f>IFERROR(__xludf.DUMMYFUNCTION("""COMPUTED_VALUE"""),"Tuesday")</f>
        <v>Tuesday</v>
      </c>
      <c r="F10" s="2" t="str">
        <f>IFERROR(__xludf.DUMMYFUNCTION("""COMPUTED_VALUE"""),"11:30am - 12:50pm")</f>
        <v>11:30am - 12:50pm</v>
      </c>
    </row>
    <row r="11">
      <c r="A11" s="2" t="str">
        <f>IFERROR(__xludf.DUMMYFUNCTION("""COMPUTED_VALUE"""),"CS280")</f>
        <v>CS280</v>
      </c>
      <c r="B11" s="5" t="str">
        <f>IFERROR(__xludf.DUMMYFUNCTION("""COMPUTED_VALUE"""),"009")</f>
        <v>009</v>
      </c>
      <c r="C11" s="2" t="str">
        <f>IFERROR(__xludf.DUMMYFUNCTION("""COMPUTED_VALUE"""),"Arafeh, Bassel")</f>
        <v>Arafeh, Bassel</v>
      </c>
      <c r="D11" s="2">
        <f>IFERROR(__xludf.DUMMYFUNCTION("""COMPUTED_VALUE"""),30.0)</f>
        <v>30</v>
      </c>
      <c r="E11" s="2" t="str">
        <f>IFERROR(__xludf.DUMMYFUNCTION("""COMPUTED_VALUE"""),"Thursday")</f>
        <v>Thursday</v>
      </c>
      <c r="F11" s="2" t="str">
        <f>IFERROR(__xludf.DUMMYFUNCTION("""COMPUTED_VALUE"""),"11:30am - 12:50pm")</f>
        <v>11:30am - 12:50pm</v>
      </c>
    </row>
    <row r="12">
      <c r="A12" s="2" t="str">
        <f>IFERROR(__xludf.DUMMYFUNCTION("""COMPUTED_VALUE"""),"CS280")</f>
        <v>CS280</v>
      </c>
      <c r="B12" s="5" t="str">
        <f>IFERROR(__xludf.DUMMYFUNCTION("""COMPUTED_VALUE"""),"011")</f>
        <v>011</v>
      </c>
      <c r="C12" s="2" t="str">
        <f>IFERROR(__xludf.DUMMYFUNCTION("""COMPUTED_VALUE"""),"Arafeh, Bassel")</f>
        <v>Arafeh, Bassel</v>
      </c>
      <c r="D12" s="2">
        <f>IFERROR(__xludf.DUMMYFUNCTION("""COMPUTED_VALUE"""),30.0)</f>
        <v>30</v>
      </c>
      <c r="E12" s="2" t="str">
        <f>IFERROR(__xludf.DUMMYFUNCTION("""COMPUTED_VALUE"""),"Tuesday")</f>
        <v>Tuesday</v>
      </c>
      <c r="F12" s="2" t="str">
        <f>IFERROR(__xludf.DUMMYFUNCTION("""COMPUTED_VALUE"""),"11:30am - 12:50pm")</f>
        <v>11:30am - 12:50pm</v>
      </c>
    </row>
    <row r="13">
      <c r="A13" s="2" t="str">
        <f>IFERROR(__xludf.DUMMYFUNCTION("""COMPUTED_VALUE"""),"CS280")</f>
        <v>CS280</v>
      </c>
      <c r="B13" s="5" t="str">
        <f>IFERROR(__xludf.DUMMYFUNCTION("""COMPUTED_VALUE"""),"011")</f>
        <v>011</v>
      </c>
      <c r="C13" s="2" t="str">
        <f>IFERROR(__xludf.DUMMYFUNCTION("""COMPUTED_VALUE"""),"Arafeh, Bassel")</f>
        <v>Arafeh, Bassel</v>
      </c>
      <c r="D13" s="2">
        <f>IFERROR(__xludf.DUMMYFUNCTION("""COMPUTED_VALUE"""),30.0)</f>
        <v>30</v>
      </c>
      <c r="E13" s="2" t="str">
        <f>IFERROR(__xludf.DUMMYFUNCTION("""COMPUTED_VALUE"""),"Thursday")</f>
        <v>Thursday</v>
      </c>
      <c r="F13" s="2" t="str">
        <f>IFERROR(__xludf.DUMMYFUNCTION("""COMPUTED_VALUE"""),"11:30am - 12:50pm")</f>
        <v>11:30am - 12:50pm</v>
      </c>
    </row>
    <row r="14">
      <c r="A14" s="2" t="str">
        <f>IFERROR(__xludf.DUMMYFUNCTION("""COMPUTED_VALUE"""),"CS280")</f>
        <v>CS280</v>
      </c>
      <c r="B14" s="5" t="str">
        <f>IFERROR(__xludf.DUMMYFUNCTION("""COMPUTED_VALUE"""),"013")</f>
        <v>013</v>
      </c>
      <c r="C14" s="2" t="str">
        <f>IFERROR(__xludf.DUMMYFUNCTION("""COMPUTED_VALUE"""),"Arafeh, Bassel")</f>
        <v>Arafeh, Bassel</v>
      </c>
      <c r="D14" s="2">
        <f>IFERROR(__xludf.DUMMYFUNCTION("""COMPUTED_VALUE"""),30.0)</f>
        <v>30</v>
      </c>
      <c r="E14" s="2" t="str">
        <f>IFERROR(__xludf.DUMMYFUNCTION("""COMPUTED_VALUE"""),"Tuesday")</f>
        <v>Tuesday</v>
      </c>
      <c r="F14" s="2" t="str">
        <f>IFERROR(__xludf.DUMMYFUNCTION("""COMPUTED_VALUE"""),"02:30pm - 03:50pm")</f>
        <v>02:30pm - 03:50pm</v>
      </c>
    </row>
    <row r="15">
      <c r="A15" s="2" t="str">
        <f>IFERROR(__xludf.DUMMYFUNCTION("""COMPUTED_VALUE"""),"CS280")</f>
        <v>CS280</v>
      </c>
      <c r="B15" s="5" t="str">
        <f>IFERROR(__xludf.DUMMYFUNCTION("""COMPUTED_VALUE"""),"013")</f>
        <v>013</v>
      </c>
      <c r="C15" s="2" t="str">
        <f>IFERROR(__xludf.DUMMYFUNCTION("""COMPUTED_VALUE"""),"Arafeh, Bassel")</f>
        <v>Arafeh, Bassel</v>
      </c>
      <c r="D15" s="2">
        <f>IFERROR(__xludf.DUMMYFUNCTION("""COMPUTED_VALUE"""),30.0)</f>
        <v>30</v>
      </c>
      <c r="E15" s="2" t="str">
        <f>IFERROR(__xludf.DUMMYFUNCTION("""COMPUTED_VALUE"""),"Thursday")</f>
        <v>Thursday</v>
      </c>
      <c r="F15" s="2" t="str">
        <f>IFERROR(__xludf.DUMMYFUNCTION("""COMPUTED_VALUE"""),"02:30pm - 03:50pm")</f>
        <v>02:30pm - 03:50pm</v>
      </c>
    </row>
    <row r="16">
      <c r="A16" s="2" t="str">
        <f>IFERROR(__xludf.DUMMYFUNCTION("""COMPUTED_VALUE"""),"CS280")</f>
        <v>CS280</v>
      </c>
      <c r="B16" s="5" t="str">
        <f>IFERROR(__xludf.DUMMYFUNCTION("""COMPUTED_VALUE"""),"015")</f>
        <v>015</v>
      </c>
      <c r="C16" s="2" t="str">
        <f>IFERROR(__xludf.DUMMYFUNCTION("""COMPUTED_VALUE"""),"Arafeh, Bassel")</f>
        <v>Arafeh, Bassel</v>
      </c>
      <c r="D16" s="2">
        <f>IFERROR(__xludf.DUMMYFUNCTION("""COMPUTED_VALUE"""),30.0)</f>
        <v>30</v>
      </c>
      <c r="E16" s="2" t="str">
        <f>IFERROR(__xludf.DUMMYFUNCTION("""COMPUTED_VALUE"""),"Tuesday")</f>
        <v>Tuesday</v>
      </c>
      <c r="F16" s="2" t="str">
        <f>IFERROR(__xludf.DUMMYFUNCTION("""COMPUTED_VALUE"""),"02:30pm - 03:50pm")</f>
        <v>02:30pm - 03:50pm</v>
      </c>
    </row>
    <row r="17">
      <c r="A17" s="2" t="str">
        <f>IFERROR(__xludf.DUMMYFUNCTION("""COMPUTED_VALUE"""),"CS280")</f>
        <v>CS280</v>
      </c>
      <c r="B17" s="5" t="str">
        <f>IFERROR(__xludf.DUMMYFUNCTION("""COMPUTED_VALUE"""),"015")</f>
        <v>015</v>
      </c>
      <c r="C17" s="2" t="str">
        <f>IFERROR(__xludf.DUMMYFUNCTION("""COMPUTED_VALUE"""),"Arafeh, Bassel")</f>
        <v>Arafeh, Bassel</v>
      </c>
      <c r="D17" s="2">
        <f>IFERROR(__xludf.DUMMYFUNCTION("""COMPUTED_VALUE"""),30.0)</f>
        <v>30</v>
      </c>
      <c r="E17" s="2" t="str">
        <f>IFERROR(__xludf.DUMMYFUNCTION("""COMPUTED_VALUE"""),"Thursday")</f>
        <v>Thursday</v>
      </c>
      <c r="F17" s="2" t="str">
        <f>IFERROR(__xludf.DUMMYFUNCTION("""COMPUTED_VALUE"""),"02:30pm - 03:50pm")</f>
        <v>02:30pm - 03:50pm</v>
      </c>
    </row>
    <row r="18">
      <c r="A18" s="2" t="str">
        <f>IFERROR(__xludf.DUMMYFUNCTION("""COMPUTED_VALUE"""),"CS280")</f>
        <v>CS280</v>
      </c>
      <c r="B18" s="5" t="str">
        <f>IFERROR(__xludf.DUMMYFUNCTION("""COMPUTED_VALUE"""),"017")</f>
        <v>017</v>
      </c>
      <c r="C18" s="2" t="str">
        <f>IFERROR(__xludf.DUMMYFUNCTION("""COMPUTED_VALUE"""),"Arafeh, Bassel")</f>
        <v>Arafeh, Bassel</v>
      </c>
      <c r="D18" s="2">
        <f>IFERROR(__xludf.DUMMYFUNCTION("""COMPUTED_VALUE"""),30.0)</f>
        <v>30</v>
      </c>
      <c r="E18" s="2" t="str">
        <f>IFERROR(__xludf.DUMMYFUNCTION("""COMPUTED_VALUE"""),"Tuesday")</f>
        <v>Tuesday</v>
      </c>
      <c r="F18" s="2" t="str">
        <f>IFERROR(__xludf.DUMMYFUNCTION("""COMPUTED_VALUE"""),"02:30pm - 03:50pm")</f>
        <v>02:30pm - 03:50pm</v>
      </c>
    </row>
    <row r="19">
      <c r="A19" s="2" t="str">
        <f>IFERROR(__xludf.DUMMYFUNCTION("""COMPUTED_VALUE"""),"CS280")</f>
        <v>CS280</v>
      </c>
      <c r="B19" s="5" t="str">
        <f>IFERROR(__xludf.DUMMYFUNCTION("""COMPUTED_VALUE"""),"017")</f>
        <v>017</v>
      </c>
      <c r="C19" s="2" t="str">
        <f>IFERROR(__xludf.DUMMYFUNCTION("""COMPUTED_VALUE"""),"Arafeh, Bassel")</f>
        <v>Arafeh, Bassel</v>
      </c>
      <c r="D19" s="2">
        <f>IFERROR(__xludf.DUMMYFUNCTION("""COMPUTED_VALUE"""),30.0)</f>
        <v>30</v>
      </c>
      <c r="E19" s="2" t="str">
        <f>IFERROR(__xludf.DUMMYFUNCTION("""COMPUTED_VALUE"""),"Thursday")</f>
        <v>Thursday</v>
      </c>
      <c r="F19" s="2" t="str">
        <f>IFERROR(__xludf.DUMMYFUNCTION("""COMPUTED_VALUE"""),"02:30pm - 03:50pm")</f>
        <v>02:30pm - 03:50pm</v>
      </c>
    </row>
    <row r="20">
      <c r="A20" s="2" t="str">
        <f>IFERROR(__xludf.DUMMYFUNCTION("""COMPUTED_VALUE"""),"CS491")</f>
        <v>CS491</v>
      </c>
      <c r="B20" s="5" t="str">
        <f>IFERROR(__xludf.DUMMYFUNCTION("""COMPUTED_VALUE"""),"101")</f>
        <v>101</v>
      </c>
      <c r="C20" s="2" t="str">
        <f>IFERROR(__xludf.DUMMYFUNCTION("""COMPUTED_VALUE"""),"Eljabiri, Osama")</f>
        <v>Eljabiri, Osama</v>
      </c>
      <c r="D20" s="2">
        <f>IFERROR(__xludf.DUMMYFUNCTION("""COMPUTED_VALUE"""),40.0)</f>
        <v>40</v>
      </c>
      <c r="E20" s="2" t="str">
        <f>IFERROR(__xludf.DUMMYFUNCTION("""COMPUTED_VALUE"""),"Tuesday")</f>
        <v>Tuesday</v>
      </c>
      <c r="F20" s="2" t="str">
        <f>IFERROR(__xludf.DUMMYFUNCTION("""COMPUTED_VALUE"""),"06:00pm - 08:50pm")</f>
        <v>06:00pm - 08:50pm</v>
      </c>
    </row>
    <row r="21">
      <c r="A21" s="2" t="str">
        <f>IFERROR(__xludf.DUMMYFUNCTION("""COMPUTED_VALUE"""),"CS491")</f>
        <v>CS491</v>
      </c>
      <c r="B21" s="5" t="str">
        <f>IFERROR(__xludf.DUMMYFUNCTION("""COMPUTED_VALUE"""),"103")</f>
        <v>103</v>
      </c>
      <c r="C21" s="2" t="str">
        <f>IFERROR(__xludf.DUMMYFUNCTION("""COMPUTED_VALUE"""),"Eljabiri, Osama")</f>
        <v>Eljabiri, Osama</v>
      </c>
      <c r="D21" s="2">
        <f>IFERROR(__xludf.DUMMYFUNCTION("""COMPUTED_VALUE"""),40.0)</f>
        <v>40</v>
      </c>
      <c r="E21" s="2" t="str">
        <f>IFERROR(__xludf.DUMMYFUNCTION("""COMPUTED_VALUE"""),"Thursday")</f>
        <v>Thursday</v>
      </c>
      <c r="F21" s="2" t="str">
        <f>IFERROR(__xludf.DUMMYFUNCTION("""COMPUTED_VALUE"""),"06:00pm - 08:50pm")</f>
        <v>06:00pm - 08:50pm</v>
      </c>
    </row>
    <row r="22">
      <c r="A22" s="2" t="str">
        <f>IFERROR(__xludf.DUMMYFUNCTION("""COMPUTED_VALUE"""),"CS491")</f>
        <v>CS491</v>
      </c>
      <c r="B22" s="5" t="str">
        <f>IFERROR(__xludf.DUMMYFUNCTION("""COMPUTED_VALUE"""),"HM1")</f>
        <v>HM1</v>
      </c>
      <c r="C22" s="2" t="str">
        <f>IFERROR(__xludf.DUMMYFUNCTION("""COMPUTED_VALUE"""),"Eljabiri, Osama")</f>
        <v>Eljabiri, Osama</v>
      </c>
      <c r="D22" s="2">
        <f>IFERROR(__xludf.DUMMYFUNCTION("""COMPUTED_VALUE"""),20.0)</f>
        <v>20</v>
      </c>
      <c r="E22" s="2" t="str">
        <f>IFERROR(__xludf.DUMMYFUNCTION("""COMPUTED_VALUE"""),"Tuesday")</f>
        <v>Tuesday</v>
      </c>
      <c r="F22" s="2" t="str">
        <f>IFERROR(__xludf.DUMMYFUNCTION("""COMPUTED_VALUE"""),"06:00pm - 08:50pm")</f>
        <v>06:00pm - 08:50pm</v>
      </c>
    </row>
    <row r="23">
      <c r="A23" s="2" t="str">
        <f>IFERROR(__xludf.DUMMYFUNCTION("""COMPUTED_VALUE"""),"CS491")</f>
        <v>CS491</v>
      </c>
      <c r="B23" s="5" t="str">
        <f>IFERROR(__xludf.DUMMYFUNCTION("""COMPUTED_VALUE"""),"HM3")</f>
        <v>HM3</v>
      </c>
      <c r="C23" s="2" t="str">
        <f>IFERROR(__xludf.DUMMYFUNCTION("""COMPUTED_VALUE"""),"Eljabiri, Osama")</f>
        <v>Eljabiri, Osama</v>
      </c>
      <c r="D23" s="2">
        <f>IFERROR(__xludf.DUMMYFUNCTION("""COMPUTED_VALUE"""),20.0)</f>
        <v>20</v>
      </c>
      <c r="E23" s="2" t="str">
        <f>IFERROR(__xludf.DUMMYFUNCTION("""COMPUTED_VALUE"""),"Thursday")</f>
        <v>Thursday</v>
      </c>
      <c r="F23" s="2" t="str">
        <f>IFERROR(__xludf.DUMMYFUNCTION("""COMPUTED_VALUE"""),"06:00pm - 08:50pm")</f>
        <v>06:00pm - 08:50pm</v>
      </c>
    </row>
    <row r="24">
      <c r="A24" s="2" t="str">
        <f>IFERROR(__xludf.DUMMYFUNCTION("""COMPUTED_VALUE"""),"IT491")</f>
        <v>IT491</v>
      </c>
      <c r="B24" s="5" t="str">
        <f>IFERROR(__xludf.DUMMYFUNCTION("""COMPUTED_VALUE"""),"101")</f>
        <v>101</v>
      </c>
      <c r="C24" s="2" t="str">
        <f>IFERROR(__xludf.DUMMYFUNCTION("""COMPUTED_VALUE"""),"Eljabiri, Osama")</f>
        <v>Eljabiri, Osama</v>
      </c>
      <c r="D24" s="2">
        <f>IFERROR(__xludf.DUMMYFUNCTION("""COMPUTED_VALUE"""),40.0)</f>
        <v>40</v>
      </c>
      <c r="E24" s="2" t="str">
        <f>IFERROR(__xludf.DUMMYFUNCTION("""COMPUTED_VALUE"""),"Tuesday")</f>
        <v>Tuesday</v>
      </c>
      <c r="F24" s="2" t="str">
        <f>IFERROR(__xludf.DUMMYFUNCTION("""COMPUTED_VALUE"""),"06:00pm - 08:50pm")</f>
        <v>06:00pm - 08:50pm</v>
      </c>
    </row>
    <row r="25">
      <c r="A25" s="2" t="str">
        <f>IFERROR(__xludf.DUMMYFUNCTION("""COMPUTED_VALUE"""),"IT491")</f>
        <v>IT491</v>
      </c>
      <c r="B25" s="5" t="str">
        <f>IFERROR(__xludf.DUMMYFUNCTION("""COMPUTED_VALUE"""),"103")</f>
        <v>103</v>
      </c>
      <c r="C25" s="2" t="str">
        <f>IFERROR(__xludf.DUMMYFUNCTION("""COMPUTED_VALUE"""),"Eljabiri, Osama")</f>
        <v>Eljabiri, Osama</v>
      </c>
      <c r="D25" s="2">
        <f>IFERROR(__xludf.DUMMYFUNCTION("""COMPUTED_VALUE"""),40.0)</f>
        <v>40</v>
      </c>
      <c r="E25" s="2" t="str">
        <f>IFERROR(__xludf.DUMMYFUNCTION("""COMPUTED_VALUE"""),"Thursday")</f>
        <v>Thursday</v>
      </c>
      <c r="F25" s="2" t="str">
        <f>IFERROR(__xludf.DUMMYFUNCTION("""COMPUTED_VALUE"""),"06:00pm - 08:50pm")</f>
        <v>06:00pm - 08:50pm</v>
      </c>
    </row>
    <row r="26">
      <c r="A26" s="2" t="str">
        <f>IFERROR(__xludf.DUMMYFUNCTION("""COMPUTED_VALUE"""),"IT491")</f>
        <v>IT491</v>
      </c>
      <c r="B26" s="5" t="str">
        <f>IFERROR(__xludf.DUMMYFUNCTION("""COMPUTED_VALUE"""),"HM1")</f>
        <v>HM1</v>
      </c>
      <c r="C26" s="2" t="str">
        <f>IFERROR(__xludf.DUMMYFUNCTION("""COMPUTED_VALUE"""),"Eljabiri, Osama")</f>
        <v>Eljabiri, Osama</v>
      </c>
      <c r="D26" s="2">
        <f>IFERROR(__xludf.DUMMYFUNCTION("""COMPUTED_VALUE"""),20.0)</f>
        <v>20</v>
      </c>
      <c r="E26" s="2" t="str">
        <f>IFERROR(__xludf.DUMMYFUNCTION("""COMPUTED_VALUE"""),"Tuesday")</f>
        <v>Tuesday</v>
      </c>
      <c r="F26" s="2" t="str">
        <f>IFERROR(__xludf.DUMMYFUNCTION("""COMPUTED_VALUE"""),"06:00pm - 08:50pm")</f>
        <v>06:00pm - 08:50pm</v>
      </c>
    </row>
    <row r="27">
      <c r="A27" s="2" t="str">
        <f>IFERROR(__xludf.DUMMYFUNCTION("""COMPUTED_VALUE"""),"IT491")</f>
        <v>IT491</v>
      </c>
      <c r="B27" s="5" t="str">
        <f>IFERROR(__xludf.DUMMYFUNCTION("""COMPUTED_VALUE"""),"HM3")</f>
        <v>HM3</v>
      </c>
      <c r="C27" s="2" t="str">
        <f>IFERROR(__xludf.DUMMYFUNCTION("""COMPUTED_VALUE"""),"Eljabiri, Osama")</f>
        <v>Eljabiri, Osama</v>
      </c>
      <c r="D27" s="2">
        <f>IFERROR(__xludf.DUMMYFUNCTION("""COMPUTED_VALUE"""),20.0)</f>
        <v>20</v>
      </c>
      <c r="E27" s="2" t="str">
        <f>IFERROR(__xludf.DUMMYFUNCTION("""COMPUTED_VALUE"""),"Thursday")</f>
        <v>Thursday</v>
      </c>
      <c r="F27" s="2" t="str">
        <f>IFERROR(__xludf.DUMMYFUNCTION("""COMPUTED_VALUE"""),"06:00pm - 08:50pm")</f>
        <v>06:00pm - 08:50pm</v>
      </c>
    </row>
    <row r="28">
      <c r="A28" s="2" t="str">
        <f>IFERROR(__xludf.DUMMYFUNCTION("""COMPUTED_VALUE"""),"CS356")</f>
        <v>CS356</v>
      </c>
      <c r="B28" s="5" t="str">
        <f>IFERROR(__xludf.DUMMYFUNCTION("""COMPUTED_VALUE"""),"101")</f>
        <v>101</v>
      </c>
      <c r="C28" s="2" t="str">
        <f>IFERROR(__xludf.DUMMYFUNCTION("""COMPUTED_VALUE"""),"McCann, William J.")</f>
        <v>McCann, William J.</v>
      </c>
      <c r="D28" s="2">
        <f>IFERROR(__xludf.DUMMYFUNCTION("""COMPUTED_VALUE"""),40.0)</f>
        <v>40</v>
      </c>
      <c r="E28" s="2" t="str">
        <f>IFERROR(__xludf.DUMMYFUNCTION("""COMPUTED_VALUE"""),"Tuesday")</f>
        <v>Tuesday</v>
      </c>
      <c r="F28" s="2" t="str">
        <f>IFERROR(__xludf.DUMMYFUNCTION("""COMPUTED_VALUE"""),"06:00pm - 08:50pm")</f>
        <v>06:00pm - 08:50pm</v>
      </c>
    </row>
    <row r="29">
      <c r="A29" s="2" t="str">
        <f>IFERROR(__xludf.DUMMYFUNCTION("""COMPUTED_VALUE"""),"CS490")</f>
        <v>CS490</v>
      </c>
      <c r="B29" s="5" t="str">
        <f>IFERROR(__xludf.DUMMYFUNCTION("""COMPUTED_VALUE"""),"101")</f>
        <v>101</v>
      </c>
      <c r="C29" s="2" t="str">
        <f>IFERROR(__xludf.DUMMYFUNCTION("""COMPUTED_VALUE"""),"McCann, William F.")</f>
        <v>McCann, William F.</v>
      </c>
      <c r="D29" s="2">
        <f>IFERROR(__xludf.DUMMYFUNCTION("""COMPUTED_VALUE"""),40.0)</f>
        <v>40</v>
      </c>
      <c r="E29" s="2" t="str">
        <f>IFERROR(__xludf.DUMMYFUNCTION("""COMPUTED_VALUE"""),"Tuesday")</f>
        <v>Tuesday</v>
      </c>
      <c r="F29" s="2" t="str">
        <f>IFERROR(__xludf.DUMMYFUNCTION("""COMPUTED_VALUE"""),"06:00pm - 08:50pm")</f>
        <v>06:00pm - 08:50pm</v>
      </c>
    </row>
    <row r="30">
      <c r="A30" s="2" t="str">
        <f>IFERROR(__xludf.DUMMYFUNCTION("""COMPUTED_VALUE"""),"CS115")</f>
        <v>CS115</v>
      </c>
      <c r="B30" s="5" t="str">
        <f>IFERROR(__xludf.DUMMYFUNCTION("""COMPUTED_VALUE"""),"101")</f>
        <v>101</v>
      </c>
      <c r="C30" s="2" t="str">
        <f>IFERROR(__xludf.DUMMYFUNCTION("""COMPUTED_VALUE"""),"Soltis, Jolanta")</f>
        <v>Soltis, Jolanta</v>
      </c>
      <c r="D30" s="2">
        <f>IFERROR(__xludf.DUMMYFUNCTION("""COMPUTED_VALUE"""),40.0)</f>
        <v>40</v>
      </c>
      <c r="E30" s="2" t="str">
        <f>IFERROR(__xludf.DUMMYFUNCTION("""COMPUTED_VALUE"""),"Tuesday")</f>
        <v>Tuesday</v>
      </c>
      <c r="F30" s="2" t="str">
        <f>IFERROR(__xludf.DUMMYFUNCTION("""COMPUTED_VALUE"""),"06:00pm - 08:50pm")</f>
        <v>06:00pm - 08:50pm</v>
      </c>
    </row>
    <row r="31">
      <c r="A31" s="2" t="str">
        <f>IFERROR(__xludf.DUMMYFUNCTION("""COMPUTED_VALUE"""),"CS115")</f>
        <v>CS115</v>
      </c>
      <c r="B31" s="5" t="str">
        <f>IFERROR(__xludf.DUMMYFUNCTION("""COMPUTED_VALUE"""),"103")</f>
        <v>103</v>
      </c>
      <c r="C31" s="2" t="str">
        <f>IFERROR(__xludf.DUMMYFUNCTION("""COMPUTED_VALUE"""),"Soltis, Jolanta")</f>
        <v>Soltis, Jolanta</v>
      </c>
      <c r="D31" s="2">
        <f>IFERROR(__xludf.DUMMYFUNCTION("""COMPUTED_VALUE"""),40.0)</f>
        <v>40</v>
      </c>
      <c r="E31" s="2" t="str">
        <f>IFERROR(__xludf.DUMMYFUNCTION("""COMPUTED_VALUE"""),"Thursday")</f>
        <v>Thursday</v>
      </c>
      <c r="F31" s="2" t="str">
        <f>IFERROR(__xludf.DUMMYFUNCTION("""COMPUTED_VALUE"""),"06:00pm - 08:50pm")</f>
        <v>06:00pm - 08:50pm</v>
      </c>
    </row>
    <row r="32">
      <c r="A32" s="2" t="str">
        <f>IFERROR(__xludf.DUMMYFUNCTION("""COMPUTED_VALUE"""),"CS113")</f>
        <v>CS113</v>
      </c>
      <c r="B32" s="5" t="str">
        <f>IFERROR(__xludf.DUMMYFUNCTION("""COMPUTED_VALUE"""),"101")</f>
        <v>101</v>
      </c>
      <c r="C32" s="2" t="str">
        <f>IFERROR(__xludf.DUMMYFUNCTION("""COMPUTED_VALUE"""),"Estes, Michael")</f>
        <v>Estes, Michael</v>
      </c>
      <c r="D32" s="2">
        <f>IFERROR(__xludf.DUMMYFUNCTION("""COMPUTED_VALUE"""),60.0)</f>
        <v>60</v>
      </c>
      <c r="E32" s="2" t="str">
        <f>IFERROR(__xludf.DUMMYFUNCTION("""COMPUTED_VALUE"""),"Tuesday")</f>
        <v>Tuesday</v>
      </c>
      <c r="F32" s="2" t="str">
        <f>IFERROR(__xludf.DUMMYFUNCTION("""COMPUTED_VALUE"""),"06:00pm - 08:50pm")</f>
        <v>06:00pm - 08:50pm</v>
      </c>
    </row>
    <row r="33">
      <c r="A33" s="2" t="str">
        <f>IFERROR(__xludf.DUMMYFUNCTION("""COMPUTED_VALUE"""),"CS113")</f>
        <v>CS113</v>
      </c>
      <c r="B33" s="5" t="str">
        <f>IFERROR(__xludf.DUMMYFUNCTION("""COMPUTED_VALUE"""),"103")</f>
        <v>103</v>
      </c>
      <c r="C33" s="2" t="str">
        <f>IFERROR(__xludf.DUMMYFUNCTION("""COMPUTED_VALUE"""),"Estes, Michael")</f>
        <v>Estes, Michael</v>
      </c>
      <c r="D33" s="2">
        <f>IFERROR(__xludf.DUMMYFUNCTION("""COMPUTED_VALUE"""),60.0)</f>
        <v>60</v>
      </c>
      <c r="E33" s="2" t="str">
        <f>IFERROR(__xludf.DUMMYFUNCTION("""COMPUTED_VALUE"""),"Thursday")</f>
        <v>Thursday</v>
      </c>
      <c r="F33" s="2" t="str">
        <f>IFERROR(__xludf.DUMMYFUNCTION("""COMPUTED_VALUE"""),"06:00pm - 08:50pm")</f>
        <v>06:00pm - 08:50pm</v>
      </c>
    </row>
    <row r="34">
      <c r="A34" s="2" t="str">
        <f>IFERROR(__xludf.DUMMYFUNCTION("""COMPUTED_VALUE"""),"CS210")</f>
        <v>CS210</v>
      </c>
      <c r="B34" s="5" t="str">
        <f>IFERROR(__xludf.DUMMYFUNCTION("""COMPUTED_VALUE"""),"101")</f>
        <v>101</v>
      </c>
      <c r="C34" s="2" t="str">
        <f>IFERROR(__xludf.DUMMYFUNCTION("""COMPUTED_VALUE"""),"Koblentz, Evan")</f>
        <v>Koblentz, Evan</v>
      </c>
      <c r="D34" s="2">
        <f>IFERROR(__xludf.DUMMYFUNCTION("""COMPUTED_VALUE"""),40.0)</f>
        <v>40</v>
      </c>
      <c r="E34" s="2" t="str">
        <f>IFERROR(__xludf.DUMMYFUNCTION("""COMPUTED_VALUE"""),"Wednesday")</f>
        <v>Wednesday</v>
      </c>
      <c r="F34" s="2" t="str">
        <f>IFERROR(__xludf.DUMMYFUNCTION("""COMPUTED_VALUE"""),"06:00pm - 08:50pm")</f>
        <v>06:00pm - 08:50pm</v>
      </c>
    </row>
    <row r="35">
      <c r="A35" s="2" t="str">
        <f>IFERROR(__xludf.DUMMYFUNCTION("""COMPUTED_VALUE"""),"CS602")</f>
        <v>CS602</v>
      </c>
      <c r="B35" s="5" t="str">
        <f>IFERROR(__xludf.DUMMYFUNCTION("""COMPUTED_VALUE"""),"101")</f>
        <v>101</v>
      </c>
      <c r="C35" s="2" t="str">
        <f>IFERROR(__xludf.DUMMYFUNCTION("""COMPUTED_VALUE"""),"Siddique, Raihan")</f>
        <v>Siddique, Raihan</v>
      </c>
      <c r="D35" s="2">
        <f>IFERROR(__xludf.DUMMYFUNCTION("""COMPUTED_VALUE"""),40.0)</f>
        <v>40</v>
      </c>
      <c r="E35" s="2" t="str">
        <f>IFERROR(__xludf.DUMMYFUNCTION("""COMPUTED_VALUE"""),"Saturday")</f>
        <v>Saturday</v>
      </c>
      <c r="F35" s="2" t="str">
        <f>IFERROR(__xludf.DUMMYFUNCTION("""COMPUTED_VALUE"""),"09:00am - 10:50pm")</f>
        <v>09:00am - 10:50pm</v>
      </c>
    </row>
    <row r="36">
      <c r="A36" s="2"/>
      <c r="B36" s="2"/>
      <c r="C36" s="2"/>
      <c r="D36" s="2"/>
      <c r="E36" s="2"/>
      <c r="F36" s="2"/>
    </row>
    <row r="37">
      <c r="A37" s="2"/>
      <c r="B37" s="2"/>
      <c r="C37" s="2"/>
      <c r="D37" s="2"/>
      <c r="E37" s="2"/>
      <c r="F37" s="2"/>
    </row>
    <row r="38">
      <c r="A38" s="2"/>
      <c r="B38" s="2"/>
      <c r="C38" s="2"/>
      <c r="D38" s="2"/>
      <c r="E38" s="2"/>
      <c r="F38" s="2"/>
    </row>
    <row r="39">
      <c r="A39" s="2"/>
      <c r="B39" s="2"/>
      <c r="C39" s="2"/>
      <c r="D39" s="2"/>
      <c r="E39" s="2"/>
      <c r="F39" s="2"/>
    </row>
    <row r="40">
      <c r="A40" s="2"/>
      <c r="B40" s="2"/>
      <c r="C40" s="2"/>
      <c r="D40" s="2"/>
      <c r="E40" s="2"/>
      <c r="F40" s="2"/>
    </row>
    <row r="41">
      <c r="A41" s="2"/>
      <c r="B41" s="2"/>
      <c r="C41" s="2"/>
      <c r="D41" s="2"/>
      <c r="E41" s="2"/>
      <c r="F41" s="2"/>
    </row>
    <row r="42">
      <c r="A42" s="2"/>
      <c r="B42" s="2"/>
      <c r="C42" s="2"/>
      <c r="D42" s="2"/>
      <c r="E42" s="2"/>
      <c r="F42" s="2"/>
    </row>
    <row r="43">
      <c r="A43" s="2"/>
      <c r="B43" s="2"/>
      <c r="C43" s="2"/>
      <c r="D43" s="2"/>
      <c r="E43" s="2"/>
      <c r="F43" s="2"/>
    </row>
    <row r="44">
      <c r="A44" s="2"/>
      <c r="B44" s="2"/>
      <c r="C44" s="2"/>
      <c r="D44" s="2"/>
      <c r="E44" s="2"/>
      <c r="F44" s="2"/>
    </row>
    <row r="45">
      <c r="A45" s="2"/>
      <c r="B45" s="2"/>
      <c r="C45" s="2"/>
      <c r="D45" s="2"/>
      <c r="E45" s="2"/>
      <c r="F45" s="2"/>
    </row>
    <row r="46">
      <c r="A46" s="2"/>
      <c r="B46" s="2"/>
      <c r="C46" s="2"/>
      <c r="D46" s="2"/>
      <c r="E46" s="2"/>
      <c r="F46" s="2"/>
    </row>
    <row r="47">
      <c r="A47" s="2"/>
      <c r="B47" s="2"/>
      <c r="C47" s="2"/>
      <c r="D47" s="2"/>
      <c r="E47" s="2"/>
      <c r="F47" s="2"/>
    </row>
    <row r="48">
      <c r="A48" s="2"/>
      <c r="B48" s="2"/>
      <c r="C48" s="2"/>
      <c r="D48" s="2"/>
      <c r="E48" s="2"/>
      <c r="F48" s="2"/>
    </row>
    <row r="49">
      <c r="A49" s="2"/>
      <c r="B49" s="2"/>
      <c r="C49" s="2"/>
      <c r="D49" s="2"/>
      <c r="E49" s="2"/>
      <c r="F49" s="2"/>
    </row>
    <row r="50">
      <c r="A50" s="2"/>
      <c r="B50" s="2"/>
      <c r="C50" s="2"/>
      <c r="D50" s="2"/>
      <c r="E50" s="2"/>
      <c r="F50" s="2"/>
    </row>
    <row r="51">
      <c r="A51" s="2"/>
      <c r="B51" s="2"/>
      <c r="C51" s="2"/>
      <c r="D51" s="2"/>
      <c r="E51" s="2"/>
      <c r="F51" s="2"/>
    </row>
    <row r="52">
      <c r="A52" s="2"/>
      <c r="B52" s="2"/>
      <c r="C52" s="2"/>
      <c r="D52" s="2"/>
      <c r="E52" s="2"/>
      <c r="F52" s="2"/>
    </row>
    <row r="53">
      <c r="A53" s="2"/>
      <c r="B53" s="2"/>
      <c r="C53" s="2"/>
      <c r="D53" s="2"/>
      <c r="E53" s="2"/>
      <c r="F53" s="2"/>
    </row>
    <row r="54">
      <c r="A54" s="2"/>
      <c r="B54" s="2"/>
      <c r="C54" s="2"/>
      <c r="D54" s="2"/>
      <c r="E54" s="2"/>
      <c r="F54" s="2"/>
    </row>
    <row r="55">
      <c r="A55" s="2"/>
      <c r="B55" s="2"/>
      <c r="C55" s="2"/>
      <c r="D55" s="2"/>
      <c r="E55" s="2"/>
      <c r="F55" s="2"/>
    </row>
    <row r="56">
      <c r="A56" s="2"/>
      <c r="B56" s="2"/>
      <c r="C56" s="2"/>
      <c r="D56" s="2"/>
      <c r="E56" s="2"/>
      <c r="F56" s="2"/>
    </row>
    <row r="57">
      <c r="A57" s="2"/>
      <c r="B57" s="2"/>
      <c r="C57" s="2"/>
      <c r="D57" s="2"/>
      <c r="E57" s="2"/>
      <c r="F57" s="2"/>
    </row>
    <row r="58">
      <c r="A58" s="2"/>
      <c r="B58" s="2"/>
      <c r="C58" s="2"/>
      <c r="D58" s="2"/>
      <c r="E58" s="2"/>
      <c r="F58" s="2"/>
    </row>
    <row r="59">
      <c r="A59" s="2"/>
      <c r="B59" s="2"/>
      <c r="C59" s="2"/>
      <c r="D59" s="2"/>
      <c r="E59" s="2"/>
      <c r="F59" s="2"/>
    </row>
    <row r="60">
      <c r="A60" s="2"/>
      <c r="B60" s="2"/>
      <c r="C60" s="2"/>
      <c r="D60" s="2"/>
      <c r="E60" s="2"/>
      <c r="F60" s="2"/>
    </row>
    <row r="61">
      <c r="A61" s="2"/>
      <c r="B61" s="2"/>
      <c r="C61" s="2"/>
      <c r="D61" s="2"/>
      <c r="E61" s="2"/>
      <c r="F61" s="2"/>
    </row>
    <row r="62">
      <c r="A62" s="2"/>
      <c r="B62" s="2"/>
      <c r="C62" s="2"/>
      <c r="D62" s="2"/>
      <c r="E62" s="2"/>
      <c r="F62" s="2"/>
    </row>
    <row r="63">
      <c r="A63" s="2"/>
      <c r="B63" s="2"/>
      <c r="C63" s="2"/>
      <c r="D63" s="2"/>
      <c r="E63" s="2"/>
      <c r="F63" s="2"/>
    </row>
    <row r="64">
      <c r="A64" s="2"/>
      <c r="B64" s="2"/>
      <c r="C64" s="2"/>
      <c r="D64" s="2"/>
      <c r="E64" s="2"/>
      <c r="F64" s="2"/>
    </row>
    <row r="65">
      <c r="A65" s="2"/>
      <c r="B65" s="2"/>
      <c r="C65" s="2"/>
      <c r="D65" s="2"/>
      <c r="E65" s="2"/>
      <c r="F65" s="2"/>
    </row>
    <row r="66">
      <c r="A66" s="2"/>
      <c r="B66" s="2"/>
      <c r="C66" s="2"/>
      <c r="D66" s="2"/>
      <c r="E66" s="2"/>
      <c r="F66" s="2"/>
    </row>
    <row r="67">
      <c r="A67" s="2"/>
      <c r="B67" s="2"/>
      <c r="C67" s="2"/>
      <c r="D67" s="2"/>
      <c r="E67" s="2"/>
      <c r="F67" s="2"/>
    </row>
    <row r="68">
      <c r="A68" s="2"/>
      <c r="B68" s="2"/>
      <c r="C68" s="2"/>
      <c r="D68" s="2"/>
      <c r="E68" s="2"/>
      <c r="F68" s="2"/>
    </row>
    <row r="69">
      <c r="A69" s="2"/>
      <c r="B69" s="2"/>
      <c r="C69" s="2"/>
      <c r="D69" s="2"/>
      <c r="E69" s="2"/>
      <c r="F69" s="2"/>
    </row>
    <row r="70">
      <c r="A70" s="2"/>
      <c r="B70" s="2"/>
      <c r="C70" s="2"/>
      <c r="D70" s="2"/>
      <c r="E70" s="2"/>
      <c r="F70" s="2"/>
    </row>
    <row r="71">
      <c r="A71" s="2"/>
      <c r="B71" s="2"/>
      <c r="C71" s="2"/>
      <c r="D71" s="2"/>
      <c r="E71" s="2"/>
      <c r="F71" s="2"/>
    </row>
    <row r="72">
      <c r="A72" s="2"/>
      <c r="B72" s="2"/>
      <c r="C72" s="2"/>
      <c r="D72" s="2"/>
      <c r="E72" s="2"/>
      <c r="F72" s="2"/>
    </row>
    <row r="73">
      <c r="A73" s="2"/>
      <c r="B73" s="2"/>
      <c r="C73" s="2"/>
      <c r="D73" s="2"/>
      <c r="E73" s="2"/>
      <c r="F73" s="2"/>
    </row>
    <row r="74">
      <c r="A74" s="2"/>
      <c r="B74" s="2"/>
      <c r="C74" s="2"/>
      <c r="D74" s="2"/>
      <c r="E74" s="2"/>
      <c r="F74" s="2"/>
    </row>
    <row r="75">
      <c r="A75" s="2"/>
      <c r="B75" s="2"/>
      <c r="C75" s="2"/>
      <c r="D75" s="2"/>
      <c r="E75" s="2"/>
      <c r="F75" s="2"/>
    </row>
    <row r="76">
      <c r="A76" s="2"/>
      <c r="B76" s="2"/>
      <c r="C76" s="2"/>
      <c r="D76" s="2"/>
      <c r="E76" s="2"/>
      <c r="F76" s="2"/>
    </row>
    <row r="77">
      <c r="A77" s="2"/>
      <c r="B77" s="2"/>
      <c r="C77" s="2"/>
      <c r="D77" s="2"/>
      <c r="E77" s="2"/>
      <c r="F77" s="2"/>
    </row>
    <row r="78">
      <c r="A78" s="2"/>
      <c r="B78" s="2"/>
      <c r="C78" s="2"/>
      <c r="D78" s="2"/>
      <c r="E78" s="2"/>
      <c r="F78" s="2"/>
    </row>
    <row r="79">
      <c r="A79" s="2"/>
      <c r="B79" s="2"/>
      <c r="C79" s="2"/>
      <c r="D79" s="2"/>
      <c r="E79" s="2"/>
      <c r="F79" s="2"/>
    </row>
    <row r="80">
      <c r="A80" s="2"/>
      <c r="B80" s="2"/>
      <c r="C80" s="2"/>
      <c r="D80" s="2"/>
      <c r="E80" s="2"/>
      <c r="F80" s="2"/>
    </row>
    <row r="81">
      <c r="A81" s="2"/>
      <c r="B81" s="2"/>
      <c r="C81" s="2"/>
      <c r="D81" s="2"/>
      <c r="E81" s="2"/>
      <c r="F81" s="2"/>
    </row>
    <row r="82">
      <c r="A82" s="2"/>
      <c r="B82" s="2"/>
      <c r="C82" s="2"/>
      <c r="D82" s="2"/>
      <c r="E82" s="2"/>
      <c r="F82" s="2"/>
    </row>
    <row r="83">
      <c r="A83" s="2"/>
      <c r="B83" s="2"/>
      <c r="C83" s="2"/>
      <c r="D83" s="2"/>
      <c r="E83" s="2"/>
      <c r="F83" s="2"/>
    </row>
    <row r="84">
      <c r="A84" s="2"/>
      <c r="B84" s="2"/>
      <c r="C84" s="2"/>
      <c r="D84" s="2"/>
      <c r="E84" s="2"/>
      <c r="F84" s="2"/>
    </row>
    <row r="85">
      <c r="A85" s="2"/>
      <c r="B85" s="2"/>
      <c r="C85" s="2"/>
      <c r="D85" s="2"/>
      <c r="E85" s="2"/>
      <c r="F85" s="2"/>
    </row>
    <row r="86">
      <c r="A86" s="2"/>
      <c r="B86" s="2"/>
      <c r="C86" s="2"/>
      <c r="D86" s="2"/>
      <c r="E86" s="2"/>
      <c r="F86" s="2"/>
    </row>
    <row r="87">
      <c r="A87" s="2"/>
      <c r="B87" s="2"/>
      <c r="C87" s="2"/>
      <c r="D87" s="2"/>
      <c r="E87" s="2"/>
      <c r="F87" s="2"/>
    </row>
    <row r="88">
      <c r="A88" s="2"/>
      <c r="B88" s="2"/>
      <c r="C88" s="2"/>
      <c r="D88" s="2"/>
      <c r="E88" s="2"/>
      <c r="F88" s="2"/>
    </row>
    <row r="89">
      <c r="A89" s="2"/>
      <c r="B89" s="2"/>
      <c r="C89" s="2"/>
      <c r="D89" s="2"/>
      <c r="E89" s="2"/>
      <c r="F89" s="2"/>
    </row>
    <row r="90">
      <c r="A90" s="2"/>
      <c r="B90" s="2"/>
      <c r="C90" s="2"/>
      <c r="D90" s="2"/>
      <c r="E90" s="2"/>
      <c r="F90" s="2"/>
    </row>
    <row r="91">
      <c r="A91" s="2"/>
      <c r="B91" s="2"/>
      <c r="C91" s="2"/>
      <c r="D91" s="2"/>
      <c r="E91" s="2"/>
      <c r="F91" s="2"/>
    </row>
    <row r="92">
      <c r="A92" s="2"/>
      <c r="B92" s="2"/>
      <c r="C92" s="2"/>
      <c r="D92" s="2"/>
      <c r="E92" s="2"/>
      <c r="F92" s="2"/>
    </row>
    <row r="93">
      <c r="A93" s="2"/>
      <c r="B93" s="2"/>
      <c r="C93" s="2"/>
      <c r="D93" s="2"/>
      <c r="E93" s="2"/>
      <c r="F93" s="2"/>
    </row>
    <row r="94">
      <c r="A94" s="2"/>
      <c r="B94" s="2"/>
      <c r="C94" s="2"/>
      <c r="D94" s="2"/>
      <c r="E94" s="2"/>
      <c r="F94" s="2"/>
    </row>
    <row r="95">
      <c r="A95" s="2"/>
      <c r="B95" s="2"/>
      <c r="C95" s="2"/>
      <c r="D95" s="2"/>
      <c r="E95" s="2"/>
      <c r="F95" s="2"/>
    </row>
    <row r="96">
      <c r="A96" s="2"/>
      <c r="B96" s="2"/>
      <c r="C96" s="2"/>
      <c r="D96" s="2"/>
      <c r="E96" s="2"/>
      <c r="F96" s="2"/>
    </row>
    <row r="97">
      <c r="A97" s="2"/>
      <c r="B97" s="2"/>
      <c r="C97" s="2"/>
      <c r="D97" s="2"/>
      <c r="E97" s="2"/>
      <c r="F97" s="2"/>
    </row>
    <row r="98">
      <c r="A98" s="2"/>
      <c r="B98" s="2"/>
      <c r="C98" s="2"/>
      <c r="D98" s="2"/>
      <c r="E98" s="2"/>
      <c r="F98" s="2"/>
    </row>
    <row r="99">
      <c r="A99" s="2"/>
      <c r="B99" s="2"/>
      <c r="C99" s="2"/>
      <c r="D99" s="2"/>
      <c r="E99" s="2"/>
      <c r="F99" s="2"/>
    </row>
    <row r="100">
      <c r="A100" s="2"/>
      <c r="B100" s="2"/>
      <c r="C100" s="2"/>
      <c r="D100" s="2"/>
      <c r="E100" s="2"/>
      <c r="F100" s="2"/>
    </row>
    <row r="101">
      <c r="A101" s="2"/>
      <c r="B101" s="2"/>
      <c r="C101" s="2"/>
      <c r="D101" s="2"/>
      <c r="E101" s="2"/>
      <c r="F101" s="2"/>
    </row>
    <row r="102">
      <c r="A102" s="2"/>
      <c r="B102" s="2"/>
      <c r="C102" s="2"/>
      <c r="D102" s="2"/>
      <c r="E102" s="2"/>
      <c r="F102" s="2"/>
    </row>
    <row r="103">
      <c r="A103" s="2"/>
      <c r="B103" s="2"/>
      <c r="C103" s="2"/>
      <c r="D103" s="2"/>
      <c r="E103" s="2"/>
      <c r="F103" s="2"/>
    </row>
    <row r="104">
      <c r="A104" s="2"/>
      <c r="B104" s="2"/>
      <c r="C104" s="2"/>
      <c r="D104" s="2"/>
      <c r="E104" s="2"/>
      <c r="F104" s="2"/>
    </row>
    <row r="105">
      <c r="A105" s="2"/>
      <c r="B105" s="2"/>
      <c r="C105" s="2"/>
      <c r="D105" s="2"/>
      <c r="E105" s="2"/>
      <c r="F105" s="2"/>
    </row>
    <row r="106">
      <c r="A106" s="2"/>
      <c r="B106" s="2"/>
      <c r="C106" s="2"/>
      <c r="D106" s="2"/>
      <c r="E106" s="2"/>
      <c r="F106" s="2"/>
    </row>
    <row r="107">
      <c r="A107" s="2"/>
      <c r="B107" s="2"/>
      <c r="C107" s="2"/>
      <c r="D107" s="2"/>
      <c r="E107" s="2"/>
      <c r="F107" s="2"/>
    </row>
    <row r="108">
      <c r="A108" s="2"/>
      <c r="B108" s="2"/>
      <c r="C108" s="2"/>
      <c r="D108" s="2"/>
      <c r="E108" s="2"/>
      <c r="F108" s="2"/>
    </row>
    <row r="109">
      <c r="A109" s="2"/>
      <c r="B109" s="2"/>
      <c r="C109" s="2"/>
      <c r="D109" s="2"/>
      <c r="E109" s="2"/>
      <c r="F109" s="2"/>
    </row>
    <row r="110">
      <c r="A110" s="2"/>
      <c r="B110" s="2"/>
      <c r="C110" s="2"/>
      <c r="D110" s="2"/>
      <c r="E110" s="2"/>
      <c r="F110" s="2"/>
    </row>
    <row r="111">
      <c r="A111" s="2"/>
      <c r="B111" s="2"/>
      <c r="C111" s="2"/>
      <c r="D111" s="2"/>
      <c r="E111" s="2"/>
      <c r="F111" s="2"/>
    </row>
    <row r="112">
      <c r="A112" s="2"/>
      <c r="B112" s="2"/>
      <c r="C112" s="2"/>
      <c r="D112" s="2"/>
      <c r="E112" s="2"/>
      <c r="F112" s="2"/>
    </row>
    <row r="113">
      <c r="A113" s="2"/>
      <c r="B113" s="2"/>
      <c r="C113" s="2"/>
      <c r="D113" s="2"/>
      <c r="E113" s="2"/>
      <c r="F113" s="2"/>
    </row>
    <row r="114">
      <c r="A114" s="2"/>
      <c r="B114" s="2"/>
      <c r="C114" s="2"/>
      <c r="D114" s="2"/>
      <c r="E114" s="2"/>
      <c r="F114" s="2"/>
    </row>
    <row r="115">
      <c r="A115" s="2"/>
      <c r="B115" s="2"/>
      <c r="C115" s="2"/>
      <c r="D115" s="2"/>
      <c r="E115" s="2"/>
      <c r="F115" s="2"/>
    </row>
    <row r="116">
      <c r="A116" s="2"/>
      <c r="B116" s="2"/>
      <c r="C116" s="2"/>
      <c r="D116" s="2"/>
      <c r="E116" s="2"/>
      <c r="F116" s="2"/>
    </row>
    <row r="117">
      <c r="A117" s="2"/>
      <c r="B117" s="2"/>
      <c r="C117" s="2"/>
      <c r="D117" s="2"/>
      <c r="E117" s="2"/>
      <c r="F117" s="2"/>
    </row>
    <row r="118">
      <c r="A118" s="2"/>
      <c r="B118" s="2"/>
      <c r="C118" s="2"/>
      <c r="D118" s="2"/>
      <c r="E118" s="2"/>
      <c r="F118" s="2"/>
    </row>
    <row r="119">
      <c r="A119" s="2"/>
      <c r="B119" s="2"/>
      <c r="C119" s="2"/>
      <c r="D119" s="2"/>
      <c r="E119" s="2"/>
      <c r="F119" s="2"/>
    </row>
    <row r="120">
      <c r="A120" s="2"/>
      <c r="B120" s="2"/>
      <c r="C120" s="2"/>
      <c r="D120" s="2"/>
      <c r="E120" s="2"/>
      <c r="F120" s="2"/>
    </row>
    <row r="121">
      <c r="A121" s="2"/>
      <c r="B121" s="2"/>
      <c r="C121" s="2"/>
      <c r="D121" s="2"/>
      <c r="E121" s="2"/>
      <c r="F121" s="2"/>
    </row>
    <row r="122">
      <c r="A122" s="2"/>
      <c r="B122" s="2"/>
      <c r="C122" s="2"/>
      <c r="D122" s="2"/>
      <c r="E122" s="2"/>
      <c r="F122" s="2"/>
    </row>
    <row r="123">
      <c r="A123" s="2"/>
      <c r="B123" s="2"/>
      <c r="C123" s="2"/>
      <c r="D123" s="2"/>
      <c r="E123" s="2"/>
      <c r="F123" s="2"/>
    </row>
    <row r="124">
      <c r="A124" s="2"/>
      <c r="B124" s="2"/>
      <c r="C124" s="2"/>
      <c r="D124" s="2"/>
      <c r="E124" s="2"/>
      <c r="F124" s="2"/>
    </row>
    <row r="125">
      <c r="A125" s="2"/>
      <c r="B125" s="2"/>
      <c r="C125" s="2"/>
      <c r="D125" s="2"/>
      <c r="E125" s="2"/>
      <c r="F125" s="2"/>
    </row>
    <row r="126">
      <c r="A126" s="2"/>
      <c r="B126" s="2"/>
      <c r="C126" s="2"/>
      <c r="D126" s="2"/>
      <c r="E126" s="2"/>
      <c r="F126" s="2"/>
    </row>
    <row r="127">
      <c r="A127" s="2"/>
      <c r="B127" s="2"/>
      <c r="C127" s="2"/>
      <c r="D127" s="2"/>
      <c r="E127" s="2"/>
      <c r="F127" s="2"/>
    </row>
    <row r="128">
      <c r="A128" s="2"/>
      <c r="B128" s="2"/>
      <c r="C128" s="2"/>
      <c r="D128" s="2"/>
      <c r="E128" s="2"/>
      <c r="F128" s="2"/>
    </row>
    <row r="129">
      <c r="A129" s="2"/>
      <c r="B129" s="2"/>
      <c r="C129" s="2"/>
      <c r="D129" s="2"/>
      <c r="E129" s="2"/>
      <c r="F129" s="2"/>
    </row>
    <row r="130">
      <c r="A130" s="2"/>
      <c r="B130" s="2"/>
      <c r="C130" s="2"/>
      <c r="D130" s="2"/>
      <c r="E130" s="2"/>
      <c r="F130" s="2"/>
    </row>
    <row r="131">
      <c r="A131" s="2"/>
      <c r="B131" s="2"/>
      <c r="C131" s="2"/>
      <c r="D131" s="2"/>
      <c r="E131" s="2"/>
      <c r="F131" s="2"/>
    </row>
    <row r="132">
      <c r="A132" s="2"/>
      <c r="B132" s="2"/>
      <c r="C132" s="2"/>
      <c r="D132" s="2"/>
      <c r="E132" s="2"/>
      <c r="F132" s="2"/>
    </row>
    <row r="133">
      <c r="A133" s="2"/>
      <c r="B133" s="2"/>
      <c r="C133" s="2"/>
      <c r="D133" s="2"/>
      <c r="E133" s="2"/>
      <c r="F133" s="2"/>
    </row>
    <row r="134">
      <c r="A134" s="2"/>
      <c r="B134" s="2"/>
      <c r="C134" s="2"/>
      <c r="D134" s="2"/>
      <c r="E134" s="2"/>
      <c r="F134" s="2"/>
    </row>
    <row r="135">
      <c r="A135" s="2"/>
      <c r="B135" s="2"/>
      <c r="C135" s="2"/>
      <c r="D135" s="2"/>
      <c r="E135" s="2"/>
      <c r="F135" s="2"/>
    </row>
    <row r="136">
      <c r="A136" s="2"/>
      <c r="B136" s="2"/>
      <c r="C136" s="2"/>
      <c r="D136" s="2"/>
      <c r="E136" s="2"/>
      <c r="F136" s="2"/>
    </row>
    <row r="137">
      <c r="A137" s="2"/>
      <c r="B137" s="2"/>
      <c r="C137" s="2"/>
      <c r="D137" s="2"/>
      <c r="E137" s="2"/>
      <c r="F137" s="2"/>
    </row>
    <row r="138">
      <c r="A138" s="2"/>
      <c r="B138" s="2"/>
      <c r="C138" s="2"/>
      <c r="D138" s="2"/>
      <c r="E138" s="2"/>
      <c r="F138" s="2"/>
    </row>
    <row r="139">
      <c r="A139" s="2"/>
      <c r="B139" s="2"/>
      <c r="C139" s="2"/>
      <c r="D139" s="2"/>
      <c r="E139" s="2"/>
      <c r="F139" s="2"/>
    </row>
    <row r="140">
      <c r="A140" s="2"/>
      <c r="B140" s="2"/>
      <c r="C140" s="2"/>
      <c r="D140" s="2"/>
      <c r="E140" s="2"/>
      <c r="F140" s="2"/>
    </row>
    <row r="141">
      <c r="A141" s="2"/>
      <c r="B141" s="2"/>
      <c r="C141" s="2"/>
      <c r="D141" s="2"/>
      <c r="E141" s="2"/>
      <c r="F141" s="2"/>
    </row>
    <row r="142">
      <c r="A142" s="2"/>
      <c r="B142" s="2"/>
      <c r="C142" s="2"/>
      <c r="D142" s="2"/>
      <c r="E142" s="2"/>
      <c r="F142" s="2"/>
    </row>
    <row r="143">
      <c r="A143" s="2"/>
      <c r="B143" s="2"/>
      <c r="C143" s="2"/>
      <c r="D143" s="2"/>
      <c r="E143" s="2"/>
      <c r="F143" s="2"/>
    </row>
    <row r="144">
      <c r="A144" s="2"/>
      <c r="B144" s="2"/>
      <c r="C144" s="2"/>
      <c r="D144" s="2"/>
      <c r="E144" s="2"/>
      <c r="F144" s="2"/>
    </row>
    <row r="145">
      <c r="A145" s="2"/>
      <c r="B145" s="2"/>
      <c r="C145" s="2"/>
      <c r="D145" s="2"/>
      <c r="E145" s="2"/>
      <c r="F145" s="2"/>
    </row>
    <row r="146">
      <c r="A146" s="2"/>
      <c r="B146" s="2"/>
      <c r="C146" s="2"/>
      <c r="D146" s="2"/>
      <c r="E146" s="2"/>
      <c r="F146" s="2"/>
    </row>
    <row r="147">
      <c r="A147" s="2"/>
      <c r="B147" s="2"/>
      <c r="C147" s="2"/>
      <c r="D147" s="2"/>
      <c r="E147" s="2"/>
      <c r="F147" s="2"/>
    </row>
    <row r="148">
      <c r="A148" s="2"/>
      <c r="B148" s="2"/>
      <c r="C148" s="2"/>
      <c r="D148" s="2"/>
      <c r="E148" s="2"/>
      <c r="F148" s="2"/>
    </row>
    <row r="149">
      <c r="A149" s="2"/>
      <c r="B149" s="2"/>
      <c r="C149" s="2"/>
      <c r="D149" s="2"/>
      <c r="E149" s="2"/>
      <c r="F149" s="2"/>
    </row>
    <row r="150">
      <c r="A150" s="2"/>
      <c r="B150" s="2"/>
      <c r="C150" s="2"/>
      <c r="D150" s="2"/>
      <c r="E150" s="2"/>
      <c r="F150" s="2"/>
    </row>
    <row r="151">
      <c r="A151" s="2"/>
      <c r="B151" s="2"/>
      <c r="C151" s="2"/>
      <c r="D151" s="2"/>
      <c r="E151" s="2"/>
      <c r="F151" s="2"/>
    </row>
    <row r="152">
      <c r="A152" s="2"/>
      <c r="B152" s="2"/>
      <c r="C152" s="2"/>
      <c r="D152" s="2"/>
      <c r="E152" s="2"/>
      <c r="F152" s="2"/>
    </row>
    <row r="153">
      <c r="A153" s="2"/>
      <c r="B153" s="2"/>
      <c r="C153" s="2"/>
      <c r="D153" s="2"/>
      <c r="E153" s="2"/>
      <c r="F153" s="2"/>
    </row>
    <row r="154">
      <c r="A154" s="2"/>
      <c r="B154" s="2"/>
      <c r="C154" s="2"/>
      <c r="D154" s="2"/>
      <c r="E154" s="2"/>
      <c r="F154" s="2"/>
    </row>
    <row r="155">
      <c r="A155" s="2"/>
      <c r="B155" s="2"/>
      <c r="C155" s="2"/>
      <c r="D155" s="2"/>
      <c r="E155" s="2"/>
      <c r="F155" s="2"/>
    </row>
    <row r="156">
      <c r="A156" s="2"/>
      <c r="B156" s="2"/>
      <c r="C156" s="2"/>
      <c r="D156" s="2"/>
      <c r="E156" s="2"/>
      <c r="F156" s="2"/>
    </row>
    <row r="157">
      <c r="A157" s="2"/>
      <c r="B157" s="2"/>
      <c r="C157" s="2"/>
      <c r="D157" s="2"/>
      <c r="E157" s="2"/>
      <c r="F157" s="2"/>
    </row>
    <row r="158">
      <c r="A158" s="2"/>
      <c r="B158" s="2"/>
      <c r="C158" s="2"/>
      <c r="D158" s="2"/>
      <c r="E158" s="2"/>
      <c r="F158" s="2"/>
    </row>
    <row r="159">
      <c r="A159" s="2"/>
      <c r="B159" s="2"/>
      <c r="C159" s="2"/>
      <c r="D159" s="2"/>
      <c r="E159" s="2"/>
      <c r="F159" s="2"/>
    </row>
    <row r="160">
      <c r="A160" s="2"/>
      <c r="B160" s="2"/>
      <c r="C160" s="2"/>
      <c r="D160" s="2"/>
      <c r="E160" s="2"/>
      <c r="F160" s="2"/>
    </row>
    <row r="161">
      <c r="A161" s="2"/>
      <c r="B161" s="2"/>
      <c r="C161" s="2"/>
      <c r="D161" s="2"/>
      <c r="E161" s="2"/>
      <c r="F161" s="2"/>
    </row>
    <row r="162">
      <c r="A162" s="2"/>
      <c r="B162" s="2"/>
      <c r="C162" s="2"/>
      <c r="D162" s="2"/>
      <c r="E162" s="2"/>
      <c r="F162" s="2"/>
    </row>
    <row r="163">
      <c r="A163" s="2"/>
      <c r="B163" s="2"/>
      <c r="C163" s="2"/>
      <c r="D163" s="2"/>
      <c r="E163" s="2"/>
      <c r="F163" s="2"/>
    </row>
    <row r="164">
      <c r="A164" s="2"/>
      <c r="B164" s="2"/>
      <c r="C164" s="2"/>
      <c r="D164" s="2"/>
      <c r="E164" s="2"/>
      <c r="F164" s="2"/>
    </row>
    <row r="165">
      <c r="A165" s="2"/>
      <c r="B165" s="2"/>
      <c r="C165" s="2"/>
      <c r="D165" s="2"/>
      <c r="E165" s="2"/>
      <c r="F165" s="2"/>
    </row>
    <row r="166">
      <c r="A166" s="2"/>
      <c r="B166" s="2"/>
      <c r="C166" s="2"/>
      <c r="D166" s="2"/>
      <c r="E166" s="2"/>
      <c r="F166" s="2"/>
    </row>
    <row r="167">
      <c r="A167" s="2"/>
      <c r="B167" s="2"/>
      <c r="C167" s="2"/>
      <c r="D167" s="2"/>
      <c r="E167" s="2"/>
      <c r="F167" s="2"/>
    </row>
    <row r="168">
      <c r="A168" s="2"/>
      <c r="B168" s="2"/>
      <c r="C168" s="2"/>
      <c r="D168" s="2"/>
      <c r="E168" s="2"/>
      <c r="F168" s="2"/>
    </row>
    <row r="169">
      <c r="A169" s="2"/>
      <c r="B169" s="2"/>
      <c r="C169" s="2"/>
      <c r="D169" s="2"/>
      <c r="E169" s="2"/>
      <c r="F169" s="2"/>
    </row>
    <row r="170">
      <c r="A170" s="2"/>
      <c r="B170" s="2"/>
      <c r="C170" s="2"/>
      <c r="D170" s="2"/>
      <c r="E170" s="2"/>
      <c r="F170" s="2"/>
    </row>
    <row r="171">
      <c r="A171" s="2"/>
      <c r="B171" s="2"/>
      <c r="C171" s="2"/>
      <c r="D171" s="2"/>
      <c r="E171" s="2"/>
      <c r="F171" s="2"/>
    </row>
    <row r="172">
      <c r="A172" s="2"/>
      <c r="B172" s="2"/>
      <c r="C172" s="2"/>
      <c r="D172" s="2"/>
      <c r="E172" s="2"/>
      <c r="F172" s="2"/>
    </row>
    <row r="173">
      <c r="A173" s="2"/>
      <c r="B173" s="2"/>
      <c r="C173" s="2"/>
      <c r="D173" s="2"/>
      <c r="E173" s="2"/>
      <c r="F173" s="2"/>
    </row>
    <row r="174">
      <c r="A174" s="2"/>
      <c r="B174" s="2"/>
      <c r="C174" s="2"/>
      <c r="D174" s="2"/>
      <c r="E174" s="2"/>
      <c r="F174" s="2"/>
    </row>
    <row r="175">
      <c r="A175" s="2"/>
      <c r="B175" s="2"/>
      <c r="C175" s="2"/>
      <c r="D175" s="2"/>
      <c r="E175" s="2"/>
      <c r="F175" s="2"/>
    </row>
    <row r="176">
      <c r="A176" s="2"/>
      <c r="B176" s="2"/>
      <c r="C176" s="2"/>
      <c r="D176" s="2"/>
      <c r="E176" s="2"/>
      <c r="F176" s="2"/>
    </row>
    <row r="177">
      <c r="A177" s="2"/>
      <c r="B177" s="2"/>
      <c r="C177" s="2"/>
      <c r="D177" s="2"/>
      <c r="E177" s="2"/>
      <c r="F177" s="2"/>
    </row>
    <row r="178">
      <c r="A178" s="2"/>
      <c r="B178" s="2"/>
      <c r="C178" s="2"/>
      <c r="D178" s="2"/>
      <c r="E178" s="2"/>
      <c r="F178" s="2"/>
    </row>
    <row r="179">
      <c r="A179" s="2"/>
      <c r="B179" s="2"/>
      <c r="C179" s="2"/>
      <c r="D179" s="2"/>
      <c r="E179" s="2"/>
      <c r="F179" s="2"/>
    </row>
    <row r="180">
      <c r="A180" s="2"/>
      <c r="B180" s="2"/>
      <c r="C180" s="2"/>
      <c r="D180" s="2"/>
      <c r="E180" s="2"/>
      <c r="F180" s="2"/>
    </row>
    <row r="181">
      <c r="A181" s="2"/>
      <c r="B181" s="2"/>
      <c r="C181" s="2"/>
      <c r="D181" s="2"/>
      <c r="E181" s="2"/>
      <c r="F181" s="2"/>
    </row>
    <row r="182">
      <c r="A182" s="2"/>
      <c r="B182" s="2"/>
      <c r="C182" s="2"/>
      <c r="D182" s="2"/>
      <c r="E182" s="2"/>
      <c r="F182" s="2"/>
    </row>
    <row r="183">
      <c r="A183" s="2"/>
      <c r="B183" s="2"/>
      <c r="C183" s="2"/>
      <c r="D183" s="2"/>
      <c r="E183" s="2"/>
      <c r="F183" s="2"/>
    </row>
    <row r="184">
      <c r="A184" s="2"/>
      <c r="B184" s="2"/>
      <c r="C184" s="2"/>
      <c r="D184" s="2"/>
      <c r="E184" s="2"/>
      <c r="F184" s="2"/>
    </row>
    <row r="185">
      <c r="A185" s="2"/>
      <c r="B185" s="2"/>
      <c r="C185" s="2"/>
      <c r="D185" s="2"/>
      <c r="E185" s="2"/>
      <c r="F185" s="2"/>
    </row>
    <row r="186">
      <c r="A186" s="2"/>
      <c r="B186" s="2"/>
      <c r="C186" s="2"/>
      <c r="D186" s="2"/>
      <c r="E186" s="2"/>
      <c r="F186" s="2"/>
    </row>
    <row r="187">
      <c r="A187" s="2"/>
      <c r="B187" s="2"/>
      <c r="C187" s="2"/>
      <c r="D187" s="2"/>
      <c r="E187" s="2"/>
      <c r="F187" s="2"/>
    </row>
    <row r="188">
      <c r="A188" s="2"/>
      <c r="B188" s="2"/>
      <c r="C188" s="2"/>
      <c r="D188" s="2"/>
      <c r="E188" s="2"/>
      <c r="F188" s="2"/>
    </row>
    <row r="189">
      <c r="A189" s="2"/>
      <c r="B189" s="2"/>
      <c r="C189" s="2"/>
      <c r="D189" s="2"/>
      <c r="E189" s="2"/>
      <c r="F189" s="2"/>
    </row>
    <row r="190">
      <c r="A190" s="2"/>
      <c r="B190" s="2"/>
      <c r="C190" s="2"/>
      <c r="D190" s="2"/>
      <c r="E190" s="2"/>
      <c r="F190" s="2"/>
    </row>
    <row r="191">
      <c r="A191" s="2"/>
      <c r="B191" s="2"/>
      <c r="C191" s="2"/>
      <c r="D191" s="2"/>
      <c r="E191" s="2"/>
      <c r="F191" s="2"/>
    </row>
    <row r="192">
      <c r="A192" s="2"/>
      <c r="B192" s="2"/>
      <c r="C192" s="2"/>
      <c r="D192" s="2"/>
      <c r="E192" s="2"/>
      <c r="F192" s="2"/>
    </row>
    <row r="193">
      <c r="A193" s="2"/>
      <c r="B193" s="2"/>
      <c r="C193" s="2"/>
      <c r="D193" s="2"/>
      <c r="E193" s="2"/>
      <c r="F193" s="2"/>
    </row>
    <row r="194">
      <c r="A194" s="2"/>
      <c r="B194" s="2"/>
      <c r="C194" s="2"/>
      <c r="D194" s="2"/>
      <c r="E194" s="2"/>
      <c r="F194" s="2"/>
    </row>
    <row r="195">
      <c r="A195" s="2"/>
      <c r="B195" s="2"/>
      <c r="C195" s="2"/>
      <c r="D195" s="2"/>
      <c r="E195" s="2"/>
      <c r="F195" s="2"/>
    </row>
    <row r="196">
      <c r="A196" s="2"/>
      <c r="B196" s="2"/>
      <c r="C196" s="2"/>
      <c r="D196" s="2"/>
      <c r="E196" s="2"/>
      <c r="F196" s="2"/>
    </row>
    <row r="197">
      <c r="A197" s="2"/>
      <c r="B197" s="2"/>
      <c r="C197" s="2"/>
      <c r="D197" s="2"/>
      <c r="E197" s="2"/>
      <c r="F197" s="2"/>
    </row>
    <row r="198">
      <c r="A198" s="2"/>
      <c r="B198" s="2"/>
      <c r="C198" s="2"/>
      <c r="D198" s="2"/>
      <c r="E198" s="2"/>
      <c r="F198" s="2"/>
    </row>
    <row r="199">
      <c r="A199" s="2"/>
      <c r="B199" s="2"/>
      <c r="C199" s="2"/>
      <c r="D199" s="2"/>
      <c r="E199" s="2"/>
      <c r="F199" s="2"/>
    </row>
    <row r="200">
      <c r="A200" s="2"/>
      <c r="B200" s="2"/>
      <c r="C200" s="2"/>
      <c r="D200" s="2"/>
      <c r="E200" s="2"/>
      <c r="F200" s="2"/>
    </row>
    <row r="201">
      <c r="A201" s="2"/>
      <c r="B201" s="2"/>
      <c r="C201" s="2"/>
      <c r="D201" s="2"/>
      <c r="E201" s="2"/>
      <c r="F201" s="2"/>
    </row>
    <row r="202">
      <c r="A202" s="2"/>
      <c r="B202" s="2"/>
      <c r="C202" s="2"/>
      <c r="D202" s="2"/>
      <c r="E202" s="2"/>
      <c r="F202" s="2"/>
    </row>
    <row r="203">
      <c r="A203" s="2"/>
      <c r="B203" s="2"/>
      <c r="C203" s="2"/>
      <c r="D203" s="2"/>
      <c r="E203" s="2"/>
      <c r="F203" s="2"/>
    </row>
    <row r="204">
      <c r="A204" s="2"/>
      <c r="B204" s="2"/>
      <c r="C204" s="2"/>
      <c r="D204" s="2"/>
      <c r="E204" s="2"/>
      <c r="F204" s="2"/>
    </row>
    <row r="205">
      <c r="A205" s="2"/>
      <c r="B205" s="2"/>
      <c r="C205" s="2"/>
      <c r="D205" s="2"/>
      <c r="E205" s="2"/>
      <c r="F205" s="2"/>
    </row>
    <row r="206">
      <c r="A206" s="2"/>
      <c r="B206" s="2"/>
      <c r="C206" s="2"/>
      <c r="D206" s="2"/>
      <c r="E206" s="2"/>
      <c r="F206" s="2"/>
    </row>
    <row r="207">
      <c r="A207" s="2"/>
      <c r="B207" s="2"/>
      <c r="C207" s="2"/>
      <c r="D207" s="2"/>
      <c r="E207" s="2"/>
      <c r="F207" s="2"/>
    </row>
    <row r="208">
      <c r="A208" s="2"/>
      <c r="B208" s="2"/>
      <c r="C208" s="2"/>
      <c r="D208" s="2"/>
      <c r="E208" s="2"/>
      <c r="F208" s="2"/>
    </row>
    <row r="209">
      <c r="A209" s="2"/>
      <c r="B209" s="2"/>
      <c r="C209" s="2"/>
      <c r="D209" s="2"/>
      <c r="E209" s="2"/>
      <c r="F209" s="2"/>
    </row>
    <row r="210">
      <c r="A210" s="2"/>
      <c r="B210" s="2"/>
      <c r="C210" s="2"/>
      <c r="D210" s="2"/>
      <c r="E210" s="2"/>
      <c r="F210" s="2"/>
    </row>
    <row r="211">
      <c r="A211" s="2"/>
      <c r="B211" s="2"/>
      <c r="C211" s="2"/>
      <c r="D211" s="2"/>
      <c r="E211" s="2"/>
      <c r="F211" s="2"/>
    </row>
    <row r="212">
      <c r="A212" s="2"/>
      <c r="B212" s="2"/>
      <c r="C212" s="2"/>
      <c r="D212" s="2"/>
      <c r="E212" s="2"/>
      <c r="F212" s="2"/>
    </row>
    <row r="213">
      <c r="A213" s="2"/>
      <c r="B213" s="2"/>
      <c r="C213" s="2"/>
      <c r="D213" s="2"/>
      <c r="E213" s="2"/>
      <c r="F213" s="2"/>
    </row>
    <row r="214">
      <c r="A214" s="2"/>
      <c r="B214" s="2"/>
      <c r="C214" s="2"/>
      <c r="D214" s="2"/>
      <c r="E214" s="2"/>
      <c r="F214" s="2"/>
    </row>
    <row r="215">
      <c r="A215" s="2"/>
      <c r="B215" s="2"/>
      <c r="C215" s="2"/>
      <c r="D215" s="2"/>
      <c r="E215" s="2"/>
      <c r="F215" s="2"/>
    </row>
    <row r="216">
      <c r="A216" s="2"/>
      <c r="B216" s="2"/>
      <c r="C216" s="2"/>
      <c r="D216" s="2"/>
      <c r="E216" s="2"/>
      <c r="F216" s="2"/>
    </row>
    <row r="217">
      <c r="A217" s="2"/>
      <c r="B217" s="2"/>
      <c r="C217" s="2"/>
      <c r="D217" s="2"/>
      <c r="E217" s="2"/>
      <c r="F217" s="2"/>
    </row>
    <row r="218">
      <c r="A218" s="2"/>
      <c r="B218" s="2"/>
      <c r="C218" s="2"/>
      <c r="D218" s="2"/>
      <c r="E218" s="2"/>
      <c r="F218" s="2"/>
    </row>
    <row r="219">
      <c r="A219" s="2"/>
      <c r="B219" s="2"/>
      <c r="C219" s="2"/>
      <c r="D219" s="2"/>
      <c r="E219" s="2"/>
      <c r="F219" s="2"/>
    </row>
    <row r="220">
      <c r="A220" s="2"/>
      <c r="B220" s="2"/>
      <c r="C220" s="2"/>
      <c r="D220" s="2"/>
      <c r="E220" s="2"/>
      <c r="F220" s="2"/>
    </row>
    <row r="221">
      <c r="A221" s="2"/>
      <c r="B221" s="2"/>
      <c r="C221" s="2"/>
      <c r="D221" s="2"/>
      <c r="E221" s="2"/>
      <c r="F221" s="2"/>
    </row>
    <row r="222">
      <c r="A222" s="2"/>
      <c r="B222" s="2"/>
      <c r="C222" s="2"/>
      <c r="D222" s="2"/>
      <c r="E222" s="2"/>
      <c r="F222" s="2"/>
    </row>
    <row r="223">
      <c r="A223" s="2"/>
      <c r="B223" s="2"/>
      <c r="C223" s="2"/>
      <c r="D223" s="2"/>
      <c r="E223" s="2"/>
      <c r="F223" s="2"/>
    </row>
    <row r="224">
      <c r="A224" s="2"/>
      <c r="B224" s="2"/>
      <c r="C224" s="2"/>
      <c r="D224" s="2"/>
      <c r="E224" s="2"/>
      <c r="F224" s="2"/>
    </row>
    <row r="225">
      <c r="A225" s="2"/>
      <c r="B225" s="2"/>
      <c r="C225" s="2"/>
      <c r="D225" s="2"/>
      <c r="E225" s="2"/>
      <c r="F225" s="2"/>
    </row>
    <row r="226">
      <c r="A226" s="2"/>
      <c r="B226" s="2"/>
      <c r="C226" s="2"/>
      <c r="D226" s="2"/>
      <c r="E226" s="2"/>
      <c r="F226" s="2"/>
    </row>
    <row r="227">
      <c r="A227" s="2"/>
      <c r="B227" s="2"/>
      <c r="C227" s="2"/>
      <c r="D227" s="2"/>
      <c r="E227" s="2"/>
      <c r="F227" s="2"/>
    </row>
    <row r="228">
      <c r="A228" s="2"/>
      <c r="B228" s="2"/>
      <c r="C228" s="2"/>
      <c r="D228" s="2"/>
      <c r="E228" s="2"/>
      <c r="F228" s="2"/>
    </row>
    <row r="229">
      <c r="A229" s="2"/>
      <c r="B229" s="2"/>
      <c r="C229" s="2"/>
      <c r="D229" s="2"/>
      <c r="E229" s="2"/>
      <c r="F229" s="2"/>
    </row>
    <row r="230">
      <c r="A230" s="2"/>
      <c r="B230" s="2"/>
      <c r="C230" s="2"/>
      <c r="D230" s="2"/>
      <c r="E230" s="2"/>
      <c r="F230" s="2"/>
    </row>
    <row r="231">
      <c r="A231" s="2"/>
      <c r="B231" s="2"/>
      <c r="C231" s="2"/>
      <c r="D231" s="2"/>
      <c r="E231" s="2"/>
      <c r="F231" s="2"/>
    </row>
    <row r="232">
      <c r="A232" s="2"/>
      <c r="B232" s="2"/>
      <c r="C232" s="2"/>
      <c r="D232" s="2"/>
      <c r="E232" s="2"/>
      <c r="F232" s="2"/>
    </row>
    <row r="233">
      <c r="A233" s="2"/>
      <c r="B233" s="2"/>
      <c r="C233" s="2"/>
      <c r="D233" s="2"/>
      <c r="E233" s="2"/>
      <c r="F233" s="2"/>
    </row>
    <row r="234">
      <c r="A234" s="2"/>
      <c r="B234" s="2"/>
      <c r="C234" s="2"/>
      <c r="D234" s="2"/>
      <c r="E234" s="2"/>
      <c r="F234" s="2"/>
    </row>
    <row r="235">
      <c r="A235" s="2"/>
      <c r="B235" s="2"/>
      <c r="C235" s="2"/>
      <c r="D235" s="2"/>
      <c r="E235" s="2"/>
      <c r="F235" s="2"/>
    </row>
    <row r="236">
      <c r="A236" s="2"/>
      <c r="B236" s="2"/>
      <c r="C236" s="2"/>
      <c r="D236" s="2"/>
      <c r="E236" s="2"/>
      <c r="F236" s="2"/>
    </row>
    <row r="237">
      <c r="A237" s="2"/>
      <c r="B237" s="2"/>
      <c r="C237" s="2"/>
      <c r="D237" s="2"/>
      <c r="E237" s="2"/>
      <c r="F237" s="2"/>
    </row>
    <row r="238">
      <c r="A238" s="2"/>
      <c r="B238" s="2"/>
      <c r="C238" s="2"/>
      <c r="D238" s="2"/>
      <c r="E238" s="2"/>
      <c r="F238" s="2"/>
    </row>
    <row r="239">
      <c r="A239" s="2"/>
      <c r="B239" s="2"/>
      <c r="C239" s="2"/>
      <c r="D239" s="2"/>
      <c r="E239" s="2"/>
      <c r="F239" s="2"/>
    </row>
    <row r="240">
      <c r="A240" s="2"/>
      <c r="B240" s="2"/>
      <c r="C240" s="2"/>
      <c r="D240" s="2"/>
      <c r="E240" s="2"/>
      <c r="F240" s="2"/>
    </row>
    <row r="241">
      <c r="A241" s="2"/>
      <c r="B241" s="2"/>
      <c r="C241" s="2"/>
      <c r="D241" s="2"/>
      <c r="E241" s="2"/>
      <c r="F241" s="2"/>
    </row>
    <row r="242">
      <c r="A242" s="2"/>
      <c r="B242" s="2"/>
      <c r="C242" s="2"/>
      <c r="D242" s="2"/>
      <c r="E242" s="2"/>
      <c r="F242" s="2"/>
    </row>
    <row r="243">
      <c r="A243" s="2"/>
      <c r="B243" s="2"/>
      <c r="C243" s="2"/>
      <c r="D243" s="2"/>
      <c r="E243" s="2"/>
      <c r="F243" s="2"/>
    </row>
    <row r="244">
      <c r="A244" s="2"/>
      <c r="B244" s="2"/>
      <c r="C244" s="2"/>
      <c r="D244" s="2"/>
      <c r="E244" s="2"/>
      <c r="F244" s="2"/>
    </row>
    <row r="245">
      <c r="A245" s="2"/>
      <c r="B245" s="2"/>
      <c r="C245" s="2"/>
      <c r="D245" s="2"/>
      <c r="E245" s="2"/>
      <c r="F245" s="2"/>
    </row>
    <row r="246">
      <c r="A246" s="2"/>
      <c r="B246" s="2"/>
      <c r="C246" s="2"/>
      <c r="D246" s="2"/>
      <c r="E246" s="2"/>
      <c r="F246" s="2"/>
    </row>
    <row r="247">
      <c r="A247" s="2"/>
      <c r="B247" s="2"/>
      <c r="C247" s="2"/>
      <c r="D247" s="2"/>
      <c r="E247" s="2"/>
      <c r="F247" s="2"/>
    </row>
    <row r="248">
      <c r="A248" s="2"/>
      <c r="B248" s="2"/>
      <c r="C248" s="2"/>
      <c r="D248" s="2"/>
      <c r="E248" s="2"/>
      <c r="F248" s="2"/>
    </row>
    <row r="249">
      <c r="A249" s="2"/>
      <c r="B249" s="2"/>
      <c r="C249" s="2"/>
      <c r="D249" s="2"/>
      <c r="E249" s="2"/>
      <c r="F249" s="2"/>
    </row>
    <row r="250">
      <c r="A250" s="2"/>
      <c r="B250" s="2"/>
      <c r="C250" s="2"/>
      <c r="D250" s="2"/>
      <c r="E250" s="2"/>
      <c r="F250" s="2"/>
    </row>
    <row r="251">
      <c r="A251" s="2"/>
      <c r="B251" s="2"/>
      <c r="C251" s="2"/>
      <c r="D251" s="2"/>
      <c r="E251" s="2"/>
      <c r="F251" s="2"/>
    </row>
    <row r="252">
      <c r="A252" s="2"/>
      <c r="B252" s="2"/>
      <c r="C252" s="2"/>
      <c r="D252" s="2"/>
      <c r="E252" s="2"/>
      <c r="F252" s="2"/>
    </row>
    <row r="253">
      <c r="A253" s="2"/>
      <c r="B253" s="2"/>
      <c r="C253" s="2"/>
      <c r="D253" s="2"/>
      <c r="E253" s="2"/>
      <c r="F253" s="2"/>
    </row>
    <row r="254">
      <c r="A254" s="2"/>
      <c r="B254" s="2"/>
      <c r="C254" s="2"/>
      <c r="D254" s="2"/>
      <c r="E254" s="2"/>
      <c r="F254" s="2"/>
    </row>
    <row r="255">
      <c r="A255" s="2"/>
      <c r="B255" s="2"/>
      <c r="C255" s="2"/>
      <c r="D255" s="2"/>
      <c r="E255" s="2"/>
      <c r="F255" s="2"/>
    </row>
    <row r="256">
      <c r="A256" s="2"/>
      <c r="B256" s="2"/>
      <c r="C256" s="2"/>
      <c r="D256" s="2"/>
      <c r="E256" s="2"/>
      <c r="F256" s="2"/>
    </row>
    <row r="257">
      <c r="A257" s="2"/>
      <c r="B257" s="2"/>
      <c r="C257" s="2"/>
      <c r="D257" s="2"/>
      <c r="E257" s="2"/>
      <c r="F257" s="2"/>
    </row>
    <row r="258">
      <c r="A258" s="2"/>
      <c r="B258" s="2"/>
      <c r="C258" s="2"/>
      <c r="D258" s="2"/>
      <c r="E258" s="2"/>
      <c r="F258" s="2"/>
    </row>
    <row r="259">
      <c r="A259" s="2"/>
      <c r="B259" s="2"/>
      <c r="C259" s="2"/>
      <c r="D259" s="2"/>
      <c r="E259" s="2"/>
      <c r="F259" s="2"/>
    </row>
    <row r="260">
      <c r="A260" s="2"/>
      <c r="B260" s="2"/>
      <c r="C260" s="2"/>
      <c r="D260" s="2"/>
      <c r="E260" s="2"/>
      <c r="F260" s="2"/>
    </row>
    <row r="261">
      <c r="A261" s="2"/>
      <c r="B261" s="2"/>
      <c r="C261" s="2"/>
      <c r="D261" s="2"/>
      <c r="E261" s="2"/>
      <c r="F261" s="2"/>
    </row>
    <row r="262">
      <c r="A262" s="2"/>
      <c r="B262" s="2"/>
      <c r="C262" s="2"/>
      <c r="D262" s="2"/>
      <c r="E262" s="2"/>
      <c r="F262" s="2"/>
    </row>
    <row r="263">
      <c r="A263" s="2"/>
      <c r="B263" s="2"/>
      <c r="C263" s="2"/>
      <c r="D263" s="2"/>
      <c r="E263" s="2"/>
      <c r="F263" s="2"/>
    </row>
    <row r="264">
      <c r="A264" s="2"/>
      <c r="B264" s="2"/>
      <c r="C264" s="2"/>
      <c r="D264" s="2"/>
      <c r="E264" s="2"/>
      <c r="F264" s="2"/>
    </row>
    <row r="265">
      <c r="A265" s="2"/>
      <c r="B265" s="2"/>
      <c r="C265" s="2"/>
      <c r="D265" s="2"/>
      <c r="E265" s="2"/>
      <c r="F265" s="2"/>
    </row>
    <row r="266">
      <c r="A266" s="2"/>
      <c r="B266" s="2"/>
      <c r="C266" s="2"/>
      <c r="D266" s="2"/>
      <c r="E266" s="2"/>
      <c r="F266" s="2"/>
    </row>
    <row r="267">
      <c r="A267" s="2"/>
      <c r="B267" s="2"/>
      <c r="C267" s="2"/>
      <c r="D267" s="2"/>
      <c r="E267" s="2"/>
      <c r="F267" s="2"/>
    </row>
    <row r="268">
      <c r="A268" s="2"/>
      <c r="B268" s="2"/>
      <c r="C268" s="2"/>
      <c r="D268" s="2"/>
      <c r="E268" s="2"/>
      <c r="F268" s="2"/>
    </row>
    <row r="269">
      <c r="A269" s="2"/>
      <c r="B269" s="2"/>
      <c r="C269" s="2"/>
      <c r="D269" s="2"/>
      <c r="E269" s="2"/>
      <c r="F269" s="2"/>
    </row>
    <row r="270">
      <c r="A270" s="2"/>
      <c r="B270" s="2"/>
      <c r="C270" s="2"/>
      <c r="D270" s="2"/>
      <c r="E270" s="2"/>
      <c r="F270" s="2"/>
    </row>
    <row r="271">
      <c r="A271" s="2"/>
      <c r="B271" s="2"/>
      <c r="C271" s="2"/>
      <c r="D271" s="2"/>
      <c r="E271" s="2"/>
      <c r="F271" s="2"/>
    </row>
    <row r="272">
      <c r="A272" s="2"/>
      <c r="B272" s="2"/>
      <c r="C272" s="2"/>
      <c r="D272" s="2"/>
      <c r="E272" s="2"/>
      <c r="F272" s="2"/>
    </row>
    <row r="273">
      <c r="A273" s="2"/>
      <c r="B273" s="2"/>
      <c r="C273" s="2"/>
      <c r="D273" s="2"/>
      <c r="E273" s="2"/>
      <c r="F273" s="2"/>
    </row>
    <row r="274">
      <c r="A274" s="2"/>
      <c r="B274" s="2"/>
      <c r="C274" s="2"/>
      <c r="D274" s="2"/>
      <c r="E274" s="2"/>
      <c r="F274" s="2"/>
    </row>
    <row r="275">
      <c r="A275" s="2"/>
      <c r="B275" s="2"/>
      <c r="C275" s="2"/>
      <c r="D275" s="2"/>
      <c r="E275" s="2"/>
      <c r="F275" s="2"/>
    </row>
    <row r="276">
      <c r="A276" s="2"/>
      <c r="B276" s="2"/>
      <c r="C276" s="2"/>
      <c r="D276" s="2"/>
      <c r="E276" s="2"/>
      <c r="F276" s="2"/>
    </row>
    <row r="277">
      <c r="A277" s="2"/>
      <c r="B277" s="2"/>
      <c r="C277" s="2"/>
      <c r="D277" s="2"/>
      <c r="E277" s="2"/>
      <c r="F277" s="2"/>
    </row>
    <row r="278">
      <c r="A278" s="2"/>
      <c r="B278" s="2"/>
      <c r="C278" s="2"/>
      <c r="D278" s="2"/>
      <c r="E278" s="2"/>
      <c r="F278" s="2"/>
    </row>
    <row r="279">
      <c r="A279" s="2"/>
      <c r="B279" s="2"/>
      <c r="C279" s="2"/>
      <c r="D279" s="2"/>
      <c r="E279" s="2"/>
      <c r="F279" s="2"/>
    </row>
    <row r="280">
      <c r="A280" s="2"/>
      <c r="B280" s="2"/>
      <c r="C280" s="2"/>
      <c r="D280" s="2"/>
      <c r="E280" s="2"/>
      <c r="F280" s="2"/>
    </row>
    <row r="281">
      <c r="A281" s="2"/>
      <c r="B281" s="2"/>
      <c r="C281" s="2"/>
      <c r="D281" s="2"/>
      <c r="E281" s="2"/>
      <c r="F281" s="2"/>
    </row>
    <row r="282">
      <c r="A282" s="2"/>
      <c r="B282" s="2"/>
      <c r="C282" s="2"/>
      <c r="D282" s="2"/>
      <c r="E282" s="2"/>
      <c r="F282" s="2"/>
    </row>
    <row r="283">
      <c r="A283" s="2"/>
      <c r="B283" s="2"/>
      <c r="C283" s="2"/>
      <c r="D283" s="2"/>
      <c r="E283" s="2"/>
      <c r="F283" s="2"/>
    </row>
    <row r="284">
      <c r="A284" s="2"/>
      <c r="B284" s="2"/>
      <c r="C284" s="2"/>
      <c r="D284" s="2"/>
      <c r="E284" s="2"/>
      <c r="F284" s="2"/>
    </row>
    <row r="285">
      <c r="A285" s="2"/>
      <c r="B285" s="2"/>
      <c r="C285" s="2"/>
      <c r="D285" s="2"/>
      <c r="E285" s="2"/>
      <c r="F285" s="2"/>
    </row>
    <row r="286">
      <c r="A286" s="2"/>
      <c r="B286" s="2"/>
      <c r="C286" s="2"/>
      <c r="D286" s="2"/>
      <c r="E286" s="2"/>
      <c r="F286" s="2"/>
    </row>
    <row r="287">
      <c r="A287" s="2"/>
      <c r="B287" s="2"/>
      <c r="C287" s="2"/>
      <c r="D287" s="2"/>
      <c r="E287" s="2"/>
      <c r="F287" s="2"/>
    </row>
    <row r="288">
      <c r="A288" s="2"/>
      <c r="B288" s="2"/>
      <c r="C288" s="2"/>
      <c r="D288" s="2"/>
      <c r="E288" s="2"/>
      <c r="F288" s="2"/>
    </row>
    <row r="289">
      <c r="A289" s="2"/>
      <c r="B289" s="2"/>
      <c r="C289" s="2"/>
      <c r="D289" s="2"/>
      <c r="E289" s="2"/>
      <c r="F289" s="2"/>
    </row>
    <row r="290">
      <c r="A290" s="2"/>
      <c r="B290" s="2"/>
      <c r="C290" s="2"/>
      <c r="D290" s="2"/>
      <c r="E290" s="2"/>
      <c r="F290" s="2"/>
    </row>
    <row r="291">
      <c r="A291" s="2"/>
      <c r="B291" s="2"/>
      <c r="C291" s="2"/>
      <c r="D291" s="2"/>
      <c r="E291" s="2"/>
      <c r="F291" s="2"/>
    </row>
    <row r="292">
      <c r="A292" s="2"/>
      <c r="B292" s="2"/>
      <c r="C292" s="2"/>
      <c r="D292" s="2"/>
      <c r="E292" s="2"/>
      <c r="F292" s="2"/>
    </row>
    <row r="293">
      <c r="A293" s="2"/>
      <c r="B293" s="2"/>
      <c r="C293" s="2"/>
      <c r="D293" s="2"/>
      <c r="E293" s="2"/>
      <c r="F293" s="2"/>
    </row>
    <row r="294">
      <c r="A294" s="2"/>
      <c r="B294" s="2"/>
      <c r="C294" s="2"/>
      <c r="D294" s="2"/>
      <c r="E294" s="2"/>
      <c r="F294" s="2"/>
    </row>
    <row r="295">
      <c r="A295" s="2"/>
      <c r="B295" s="2"/>
      <c r="C295" s="2"/>
      <c r="D295" s="2"/>
      <c r="E295" s="2"/>
      <c r="F295" s="2"/>
    </row>
    <row r="296">
      <c r="A296" s="2"/>
      <c r="B296" s="2"/>
      <c r="C296" s="2"/>
      <c r="D296" s="2"/>
      <c r="E296" s="2"/>
      <c r="F296" s="2"/>
    </row>
    <row r="297">
      <c r="A297" s="2"/>
      <c r="B297" s="2"/>
      <c r="C297" s="2"/>
      <c r="D297" s="2"/>
      <c r="E297" s="2"/>
      <c r="F297" s="2"/>
    </row>
    <row r="298">
      <c r="A298" s="2"/>
      <c r="B298" s="2"/>
      <c r="C298" s="2"/>
      <c r="D298" s="2"/>
      <c r="E298" s="2"/>
      <c r="F298" s="2"/>
    </row>
    <row r="299">
      <c r="A299" s="2"/>
      <c r="B299" s="2"/>
      <c r="C299" s="2"/>
      <c r="D299" s="2"/>
      <c r="E299" s="2"/>
      <c r="F299" s="2"/>
    </row>
    <row r="300">
      <c r="A300" s="2"/>
      <c r="B300" s="2"/>
      <c r="C300" s="2"/>
      <c r="D300" s="2"/>
      <c r="E300" s="2"/>
      <c r="F300" s="2"/>
    </row>
    <row r="301">
      <c r="A301" s="2"/>
      <c r="B301" s="2"/>
      <c r="C301" s="2"/>
      <c r="D301" s="2"/>
      <c r="E301" s="2"/>
      <c r="F301" s="2"/>
    </row>
    <row r="302">
      <c r="A302" s="2"/>
      <c r="B302" s="2"/>
      <c r="C302" s="2"/>
      <c r="D302" s="2"/>
      <c r="E302" s="2"/>
      <c r="F302" s="2"/>
    </row>
    <row r="303">
      <c r="A303" s="2"/>
      <c r="B303" s="2"/>
      <c r="C303" s="2"/>
      <c r="D303" s="2"/>
      <c r="E303" s="2"/>
      <c r="F303" s="2"/>
    </row>
    <row r="304">
      <c r="A304" s="2"/>
      <c r="B304" s="2"/>
      <c r="C304" s="2"/>
      <c r="D304" s="2"/>
      <c r="E304" s="2"/>
      <c r="F304" s="2"/>
    </row>
    <row r="305">
      <c r="A305" s="2"/>
      <c r="B305" s="2"/>
      <c r="C305" s="2"/>
      <c r="D305" s="2"/>
      <c r="E305" s="2"/>
      <c r="F305" s="2"/>
    </row>
    <row r="306">
      <c r="A306" s="2"/>
      <c r="B306" s="2"/>
      <c r="C306" s="2"/>
      <c r="D306" s="2"/>
      <c r="E306" s="2"/>
      <c r="F306" s="2"/>
    </row>
    <row r="307">
      <c r="A307" s="2"/>
      <c r="B307" s="2"/>
      <c r="C307" s="2"/>
      <c r="D307" s="2"/>
      <c r="E307" s="2"/>
      <c r="F307" s="2"/>
    </row>
    <row r="308">
      <c r="A308" s="2"/>
      <c r="B308" s="2"/>
      <c r="C308" s="2"/>
      <c r="D308" s="2"/>
      <c r="E308" s="2"/>
      <c r="F308" s="2"/>
    </row>
    <row r="309">
      <c r="A309" s="2"/>
      <c r="B309" s="2"/>
      <c r="C309" s="2"/>
      <c r="D309" s="2"/>
      <c r="E309" s="2"/>
      <c r="F309" s="2"/>
    </row>
    <row r="310">
      <c r="A310" s="2"/>
      <c r="B310" s="2"/>
      <c r="C310" s="2"/>
      <c r="D310" s="2"/>
      <c r="E310" s="2"/>
      <c r="F310" s="2"/>
    </row>
    <row r="311">
      <c r="A311" s="2"/>
      <c r="B311" s="2"/>
      <c r="C311" s="2"/>
      <c r="D311" s="2"/>
      <c r="E311" s="2"/>
      <c r="F311" s="2"/>
    </row>
    <row r="312">
      <c r="A312" s="2"/>
      <c r="B312" s="2"/>
      <c r="C312" s="2"/>
      <c r="D312" s="2"/>
      <c r="E312" s="2"/>
      <c r="F312" s="2"/>
    </row>
    <row r="313">
      <c r="A313" s="2"/>
      <c r="B313" s="2"/>
      <c r="C313" s="2"/>
      <c r="D313" s="2"/>
      <c r="E313" s="2"/>
      <c r="F313" s="2"/>
    </row>
    <row r="314">
      <c r="A314" s="2"/>
      <c r="B314" s="2"/>
      <c r="C314" s="2"/>
      <c r="D314" s="2"/>
      <c r="E314" s="2"/>
      <c r="F314" s="2"/>
    </row>
    <row r="315">
      <c r="A315" s="2"/>
      <c r="B315" s="2"/>
      <c r="C315" s="2"/>
      <c r="D315" s="2"/>
      <c r="E315" s="2"/>
      <c r="F315" s="2"/>
    </row>
    <row r="316">
      <c r="A316" s="2"/>
      <c r="B316" s="2"/>
      <c r="C316" s="2"/>
      <c r="D316" s="2"/>
      <c r="E316" s="2"/>
      <c r="F316" s="2"/>
    </row>
    <row r="317">
      <c r="A317" s="2"/>
      <c r="B317" s="2"/>
      <c r="C317" s="2"/>
      <c r="D317" s="2"/>
      <c r="E317" s="2"/>
      <c r="F317" s="2"/>
    </row>
    <row r="318">
      <c r="A318" s="2"/>
      <c r="B318" s="2"/>
      <c r="C318" s="2"/>
      <c r="D318" s="2"/>
      <c r="E318" s="2"/>
      <c r="F318" s="2"/>
    </row>
    <row r="319">
      <c r="A319" s="2"/>
      <c r="B319" s="2"/>
      <c r="C319" s="2"/>
      <c r="D319" s="2"/>
      <c r="E319" s="2"/>
      <c r="F319" s="2"/>
    </row>
    <row r="320">
      <c r="A320" s="2"/>
      <c r="B320" s="2"/>
      <c r="C320" s="2"/>
      <c r="D320" s="2"/>
      <c r="E320" s="2"/>
      <c r="F320" s="2"/>
    </row>
    <row r="321">
      <c r="A321" s="2"/>
      <c r="B321" s="2"/>
      <c r="C321" s="2"/>
      <c r="D321" s="2"/>
      <c r="E321" s="2"/>
      <c r="F321" s="2"/>
    </row>
    <row r="322">
      <c r="A322" s="2"/>
      <c r="B322" s="2"/>
      <c r="C322" s="2"/>
      <c r="D322" s="2"/>
      <c r="E322" s="2"/>
      <c r="F322" s="2"/>
    </row>
    <row r="323">
      <c r="A323" s="2"/>
      <c r="B323" s="2"/>
      <c r="C323" s="2"/>
      <c r="D323" s="2"/>
      <c r="E323" s="2"/>
      <c r="F323" s="2"/>
    </row>
    <row r="324">
      <c r="A324" s="2"/>
      <c r="B324" s="2"/>
      <c r="C324" s="2"/>
      <c r="D324" s="2"/>
      <c r="E324" s="2"/>
      <c r="F324" s="2"/>
    </row>
    <row r="325">
      <c r="A325" s="2"/>
      <c r="B325" s="2"/>
      <c r="C325" s="2"/>
      <c r="D325" s="2"/>
      <c r="E325" s="2"/>
      <c r="F325" s="2"/>
    </row>
    <row r="326">
      <c r="A326" s="2"/>
      <c r="B326" s="2"/>
      <c r="C326" s="2"/>
      <c r="D326" s="2"/>
      <c r="E326" s="2"/>
      <c r="F326" s="2"/>
    </row>
    <row r="327">
      <c r="A327" s="2"/>
      <c r="B327" s="2"/>
      <c r="C327" s="2"/>
      <c r="D327" s="2"/>
      <c r="E327" s="2"/>
      <c r="F327" s="2"/>
    </row>
    <row r="328">
      <c r="A328" s="2"/>
      <c r="B328" s="2"/>
      <c r="C328" s="2"/>
      <c r="D328" s="2"/>
      <c r="E328" s="2"/>
      <c r="F328" s="2"/>
    </row>
    <row r="329">
      <c r="A329" s="2"/>
      <c r="B329" s="2"/>
      <c r="C329" s="2"/>
      <c r="D329" s="2"/>
      <c r="E329" s="2"/>
      <c r="F329" s="2"/>
    </row>
    <row r="330">
      <c r="A330" s="2"/>
      <c r="B330" s="2"/>
      <c r="C330" s="2"/>
      <c r="D330" s="2"/>
      <c r="E330" s="2"/>
      <c r="F330" s="2"/>
    </row>
    <row r="331">
      <c r="A331" s="2"/>
      <c r="B331" s="2"/>
      <c r="C331" s="2"/>
      <c r="D331" s="2"/>
      <c r="E331" s="2"/>
      <c r="F331" s="2"/>
    </row>
    <row r="332">
      <c r="A332" s="2"/>
      <c r="B332" s="2"/>
      <c r="C332" s="2"/>
      <c r="D332" s="2"/>
      <c r="E332" s="2"/>
      <c r="F332" s="2"/>
    </row>
    <row r="333">
      <c r="A333" s="2"/>
      <c r="B333" s="2"/>
      <c r="C333" s="2"/>
      <c r="D333" s="2"/>
      <c r="E333" s="2"/>
      <c r="F333" s="2"/>
    </row>
    <row r="334">
      <c r="A334" s="2"/>
      <c r="B334" s="2"/>
      <c r="C334" s="2"/>
      <c r="D334" s="2"/>
      <c r="E334" s="2"/>
      <c r="F334" s="2"/>
    </row>
    <row r="335">
      <c r="A335" s="2"/>
      <c r="B335" s="2"/>
      <c r="C335" s="2"/>
      <c r="D335" s="2"/>
      <c r="E335" s="2"/>
      <c r="F335" s="2"/>
    </row>
    <row r="336">
      <c r="A336" s="2"/>
      <c r="B336" s="2"/>
      <c r="C336" s="2"/>
      <c r="D336" s="2"/>
      <c r="E336" s="2"/>
      <c r="F336" s="2"/>
    </row>
    <row r="337">
      <c r="A337" s="2"/>
      <c r="B337" s="2"/>
      <c r="C337" s="2"/>
      <c r="D337" s="2"/>
      <c r="E337" s="2"/>
      <c r="F337" s="2"/>
    </row>
    <row r="338">
      <c r="A338" s="2"/>
      <c r="B338" s="2"/>
      <c r="C338" s="2"/>
      <c r="D338" s="2"/>
      <c r="E338" s="2"/>
      <c r="F338" s="2"/>
    </row>
    <row r="339">
      <c r="A339" s="2"/>
      <c r="B339" s="2"/>
      <c r="C339" s="2"/>
      <c r="D339" s="2"/>
      <c r="E339" s="2"/>
      <c r="F339" s="2"/>
    </row>
    <row r="340">
      <c r="A340" s="2"/>
      <c r="B340" s="2"/>
      <c r="C340" s="2"/>
      <c r="D340" s="2"/>
      <c r="E340" s="2"/>
      <c r="F340" s="2"/>
    </row>
    <row r="341">
      <c r="A341" s="2"/>
      <c r="B341" s="2"/>
      <c r="C341" s="2"/>
      <c r="D341" s="2"/>
      <c r="E341" s="2"/>
      <c r="F341" s="2"/>
    </row>
    <row r="342">
      <c r="A342" s="2"/>
      <c r="B342" s="2"/>
      <c r="C342" s="2"/>
      <c r="D342" s="2"/>
      <c r="E342" s="2"/>
      <c r="F342" s="2"/>
    </row>
    <row r="343">
      <c r="A343" s="2"/>
      <c r="B343" s="2"/>
      <c r="C343" s="2"/>
      <c r="D343" s="2"/>
      <c r="E343" s="2"/>
      <c r="F343" s="2"/>
    </row>
    <row r="344">
      <c r="A344" s="2"/>
      <c r="B344" s="2"/>
      <c r="C344" s="2"/>
      <c r="D344" s="2"/>
      <c r="E344" s="2"/>
      <c r="F344" s="2"/>
    </row>
    <row r="345">
      <c r="A345" s="2"/>
      <c r="B345" s="2"/>
      <c r="C345" s="2"/>
      <c r="D345" s="2"/>
      <c r="E345" s="2"/>
      <c r="F345" s="2"/>
    </row>
    <row r="346">
      <c r="A346" s="2"/>
      <c r="B346" s="2"/>
      <c r="C346" s="2"/>
      <c r="D346" s="2"/>
      <c r="E346" s="2"/>
      <c r="F346" s="2"/>
    </row>
    <row r="347">
      <c r="A347" s="2"/>
      <c r="B347" s="2"/>
      <c r="C347" s="2"/>
      <c r="D347" s="2"/>
      <c r="E347" s="2"/>
      <c r="F347" s="2"/>
    </row>
    <row r="348">
      <c r="A348" s="2"/>
      <c r="B348" s="2"/>
      <c r="C348" s="2"/>
      <c r="D348" s="2"/>
      <c r="E348" s="2"/>
      <c r="F348" s="2"/>
    </row>
    <row r="349">
      <c r="A349" s="2"/>
      <c r="B349" s="2"/>
      <c r="C349" s="2"/>
      <c r="D349" s="2"/>
      <c r="E349" s="2"/>
      <c r="F349" s="2"/>
    </row>
    <row r="350">
      <c r="A350" s="2"/>
      <c r="B350" s="2"/>
      <c r="C350" s="2"/>
      <c r="D350" s="2"/>
      <c r="E350" s="2"/>
      <c r="F350" s="2"/>
    </row>
    <row r="351">
      <c r="A351" s="2"/>
      <c r="B351" s="2"/>
      <c r="C351" s="2"/>
      <c r="D351" s="2"/>
      <c r="E351" s="2"/>
      <c r="F351" s="2"/>
    </row>
    <row r="352">
      <c r="A352" s="2"/>
      <c r="B352" s="2"/>
      <c r="C352" s="2"/>
      <c r="D352" s="2"/>
      <c r="E352" s="2"/>
      <c r="F352" s="2"/>
    </row>
    <row r="353">
      <c r="A353" s="2"/>
      <c r="B353" s="2"/>
      <c r="C353" s="2"/>
      <c r="D353" s="2"/>
      <c r="E353" s="2"/>
      <c r="F353" s="2"/>
    </row>
    <row r="354">
      <c r="A354" s="2"/>
      <c r="B354" s="2"/>
      <c r="C354" s="2"/>
      <c r="D354" s="2"/>
      <c r="E354" s="2"/>
      <c r="F354" s="2"/>
    </row>
    <row r="355">
      <c r="A355" s="2"/>
      <c r="B355" s="2"/>
      <c r="C355" s="2"/>
      <c r="D355" s="2"/>
      <c r="E355" s="2"/>
      <c r="F355" s="2"/>
    </row>
    <row r="356">
      <c r="A356" s="2"/>
      <c r="B356" s="2"/>
      <c r="C356" s="2"/>
      <c r="D356" s="2"/>
      <c r="E356" s="2"/>
      <c r="F356" s="2"/>
    </row>
    <row r="357">
      <c r="A357" s="2"/>
      <c r="B357" s="2"/>
      <c r="C357" s="2"/>
      <c r="D357" s="2"/>
      <c r="E357" s="2"/>
      <c r="F357" s="2"/>
    </row>
    <row r="358">
      <c r="A358" s="2"/>
      <c r="B358" s="2"/>
      <c r="C358" s="2"/>
      <c r="D358" s="2"/>
      <c r="E358" s="2"/>
      <c r="F358" s="2"/>
    </row>
    <row r="359">
      <c r="A359" s="2"/>
      <c r="B359" s="2"/>
      <c r="C359" s="2"/>
      <c r="D359" s="2"/>
      <c r="E359" s="2"/>
      <c r="F359" s="2"/>
    </row>
    <row r="360">
      <c r="A360" s="2"/>
      <c r="B360" s="2"/>
      <c r="C360" s="2"/>
      <c r="D360" s="2"/>
      <c r="E360" s="2"/>
      <c r="F360" s="2"/>
    </row>
    <row r="361">
      <c r="A361" s="2"/>
      <c r="B361" s="2"/>
      <c r="C361" s="2"/>
      <c r="D361" s="2"/>
      <c r="E361" s="2"/>
      <c r="F361" s="2"/>
    </row>
    <row r="362">
      <c r="A362" s="2"/>
      <c r="B362" s="2"/>
      <c r="C362" s="2"/>
      <c r="D362" s="2"/>
      <c r="E362" s="2"/>
      <c r="F362" s="2"/>
    </row>
    <row r="363">
      <c r="A363" s="2"/>
      <c r="B363" s="2"/>
      <c r="C363" s="2"/>
      <c r="D363" s="2"/>
      <c r="E363" s="2"/>
      <c r="F363" s="2"/>
    </row>
    <row r="364">
      <c r="A364" s="2"/>
      <c r="B364" s="2"/>
      <c r="C364" s="2"/>
      <c r="D364" s="2"/>
      <c r="E364" s="2"/>
      <c r="F364" s="2"/>
    </row>
    <row r="365">
      <c r="A365" s="2"/>
      <c r="B365" s="2"/>
      <c r="C365" s="2"/>
      <c r="D365" s="2"/>
      <c r="E365" s="2"/>
      <c r="F365" s="2"/>
    </row>
    <row r="366">
      <c r="A366" s="2"/>
      <c r="B366" s="2"/>
      <c r="C366" s="2"/>
      <c r="D366" s="2"/>
      <c r="E366" s="2"/>
      <c r="F366" s="2"/>
    </row>
    <row r="367">
      <c r="A367" s="2"/>
      <c r="B367" s="2"/>
      <c r="C367" s="2"/>
      <c r="D367" s="2"/>
      <c r="E367" s="2"/>
      <c r="F367" s="2"/>
    </row>
    <row r="368">
      <c r="A368" s="2"/>
      <c r="B368" s="2"/>
      <c r="C368" s="2"/>
      <c r="D368" s="2"/>
      <c r="E368" s="2"/>
      <c r="F368" s="2"/>
    </row>
    <row r="369">
      <c r="A369" s="2"/>
      <c r="B369" s="2"/>
      <c r="C369" s="2"/>
      <c r="D369" s="2"/>
      <c r="E369" s="2"/>
      <c r="F369" s="2"/>
    </row>
    <row r="370">
      <c r="A370" s="2"/>
      <c r="B370" s="2"/>
      <c r="C370" s="2"/>
      <c r="D370" s="2"/>
      <c r="E370" s="2"/>
      <c r="F370" s="2"/>
    </row>
    <row r="371">
      <c r="A371" s="2"/>
      <c r="B371" s="2"/>
      <c r="C371" s="2"/>
      <c r="D371" s="2"/>
      <c r="E371" s="2"/>
      <c r="F371" s="2"/>
    </row>
    <row r="372">
      <c r="A372" s="2"/>
      <c r="B372" s="2"/>
      <c r="C372" s="2"/>
      <c r="D372" s="2"/>
      <c r="E372" s="2"/>
      <c r="F372" s="2"/>
    </row>
    <row r="373">
      <c r="A373" s="2"/>
      <c r="B373" s="2"/>
      <c r="C373" s="2"/>
      <c r="D373" s="2"/>
      <c r="E373" s="2"/>
      <c r="F373" s="2"/>
    </row>
    <row r="374">
      <c r="A374" s="2"/>
      <c r="B374" s="2"/>
      <c r="C374" s="2"/>
      <c r="D374" s="2"/>
      <c r="E374" s="2"/>
      <c r="F374" s="2"/>
    </row>
    <row r="375">
      <c r="A375" s="2"/>
      <c r="B375" s="2"/>
      <c r="C375" s="2"/>
      <c r="D375" s="2"/>
      <c r="E375" s="2"/>
      <c r="F375" s="2"/>
    </row>
    <row r="376">
      <c r="A376" s="2"/>
      <c r="B376" s="2"/>
      <c r="C376" s="2"/>
      <c r="D376" s="2"/>
      <c r="E376" s="2"/>
      <c r="F376" s="2"/>
    </row>
    <row r="377">
      <c r="A377" s="2"/>
      <c r="B377" s="2"/>
      <c r="C377" s="2"/>
      <c r="D377" s="2"/>
      <c r="E377" s="2"/>
      <c r="F377" s="2"/>
    </row>
    <row r="378">
      <c r="A378" s="2"/>
      <c r="B378" s="2"/>
      <c r="C378" s="2"/>
      <c r="D378" s="2"/>
      <c r="E378" s="2"/>
      <c r="F378" s="2"/>
    </row>
    <row r="379">
      <c r="A379" s="2"/>
      <c r="B379" s="2"/>
      <c r="C379" s="2"/>
      <c r="D379" s="2"/>
      <c r="E379" s="2"/>
      <c r="F379" s="2"/>
    </row>
    <row r="380">
      <c r="A380" s="2"/>
      <c r="B380" s="2"/>
      <c r="C380" s="2"/>
      <c r="D380" s="2"/>
      <c r="E380" s="2"/>
      <c r="F380" s="2"/>
    </row>
    <row r="381">
      <c r="A381" s="2"/>
      <c r="B381" s="2"/>
      <c r="C381" s="2"/>
      <c r="D381" s="2"/>
      <c r="E381" s="2"/>
      <c r="F381" s="2"/>
    </row>
    <row r="382">
      <c r="A382" s="2"/>
      <c r="B382" s="2"/>
      <c r="C382" s="2"/>
      <c r="D382" s="2"/>
      <c r="E382" s="2"/>
      <c r="F382" s="2"/>
    </row>
    <row r="383">
      <c r="A383" s="2"/>
      <c r="B383" s="2"/>
      <c r="C383" s="2"/>
      <c r="D383" s="2"/>
      <c r="E383" s="2"/>
      <c r="F383" s="2"/>
    </row>
    <row r="384">
      <c r="A384" s="2"/>
      <c r="B384" s="2"/>
      <c r="C384" s="2"/>
      <c r="D384" s="2"/>
      <c r="E384" s="2"/>
      <c r="F384" s="2"/>
    </row>
    <row r="385">
      <c r="A385" s="2"/>
      <c r="B385" s="2"/>
      <c r="C385" s="2"/>
      <c r="D385" s="2"/>
      <c r="E385" s="2"/>
      <c r="F385" s="2"/>
    </row>
    <row r="386">
      <c r="A386" s="2"/>
      <c r="B386" s="2"/>
      <c r="C386" s="2"/>
      <c r="D386" s="2"/>
      <c r="E386" s="2"/>
      <c r="F386" s="2"/>
    </row>
    <row r="387">
      <c r="A387" s="2"/>
      <c r="B387" s="2"/>
      <c r="C387" s="2"/>
      <c r="D387" s="2"/>
      <c r="E387" s="2"/>
      <c r="F387" s="2"/>
    </row>
    <row r="388">
      <c r="A388" s="2"/>
      <c r="B388" s="2"/>
      <c r="C388" s="2"/>
      <c r="D388" s="2"/>
      <c r="E388" s="2"/>
      <c r="F388" s="2"/>
    </row>
    <row r="389">
      <c r="A389" s="2"/>
      <c r="B389" s="2"/>
      <c r="C389" s="2"/>
      <c r="D389" s="2"/>
      <c r="E389" s="2"/>
      <c r="F389" s="2"/>
    </row>
    <row r="390">
      <c r="A390" s="2"/>
      <c r="B390" s="2"/>
      <c r="C390" s="2"/>
      <c r="D390" s="2"/>
      <c r="E390" s="2"/>
      <c r="F390" s="2"/>
    </row>
    <row r="391">
      <c r="A391" s="2"/>
      <c r="B391" s="2"/>
      <c r="C391" s="2"/>
      <c r="D391" s="2"/>
      <c r="E391" s="2"/>
      <c r="F391" s="2"/>
    </row>
    <row r="392">
      <c r="A392" s="2"/>
      <c r="B392" s="2"/>
      <c r="C392" s="2"/>
      <c r="D392" s="2"/>
      <c r="E392" s="2"/>
      <c r="F392" s="2"/>
    </row>
    <row r="393">
      <c r="A393" s="2"/>
      <c r="B393" s="2"/>
      <c r="C393" s="2"/>
      <c r="D393" s="2"/>
      <c r="E393" s="2"/>
      <c r="F393" s="2"/>
    </row>
    <row r="394">
      <c r="A394" s="2"/>
      <c r="B394" s="2"/>
      <c r="C394" s="2"/>
      <c r="D394" s="2"/>
      <c r="E394" s="2"/>
      <c r="F394" s="2"/>
    </row>
    <row r="395">
      <c r="A395" s="2"/>
      <c r="B395" s="2"/>
      <c r="C395" s="2"/>
      <c r="D395" s="2"/>
      <c r="E395" s="2"/>
      <c r="F395" s="2"/>
    </row>
    <row r="396">
      <c r="A396" s="2"/>
      <c r="B396" s="2"/>
      <c r="C396" s="2"/>
      <c r="D396" s="2"/>
      <c r="E396" s="2"/>
      <c r="F396" s="2"/>
    </row>
    <row r="397">
      <c r="A397" s="2"/>
      <c r="B397" s="2"/>
      <c r="C397" s="2"/>
      <c r="D397" s="2"/>
      <c r="E397" s="2"/>
      <c r="F397" s="2"/>
    </row>
    <row r="398">
      <c r="A398" s="2"/>
      <c r="B398" s="2"/>
      <c r="C398" s="2"/>
      <c r="D398" s="2"/>
      <c r="E398" s="2"/>
      <c r="F398" s="2"/>
    </row>
    <row r="399">
      <c r="A399" s="2"/>
      <c r="B399" s="2"/>
      <c r="C399" s="2"/>
      <c r="D399" s="2"/>
      <c r="E399" s="2"/>
      <c r="F399" s="2"/>
    </row>
    <row r="400">
      <c r="A400" s="2"/>
      <c r="B400" s="2"/>
      <c r="C400" s="2"/>
      <c r="D400" s="2"/>
      <c r="E400" s="2"/>
      <c r="F400" s="2"/>
    </row>
    <row r="401">
      <c r="A401" s="2"/>
      <c r="B401" s="2"/>
      <c r="C401" s="2"/>
      <c r="D401" s="2"/>
      <c r="E401" s="2"/>
      <c r="F401" s="2"/>
    </row>
    <row r="402">
      <c r="A402" s="2"/>
      <c r="B402" s="2"/>
      <c r="C402" s="2"/>
      <c r="D402" s="2"/>
      <c r="E402" s="2"/>
      <c r="F402" s="2"/>
    </row>
    <row r="403">
      <c r="A403" s="2"/>
      <c r="B403" s="2"/>
      <c r="C403" s="2"/>
      <c r="D403" s="2"/>
      <c r="E403" s="2"/>
      <c r="F403" s="2"/>
    </row>
    <row r="404">
      <c r="A404" s="2"/>
      <c r="B404" s="2"/>
      <c r="C404" s="2"/>
      <c r="D404" s="2"/>
      <c r="E404" s="2"/>
      <c r="F404" s="2"/>
    </row>
    <row r="405">
      <c r="A405" s="2"/>
      <c r="B405" s="2"/>
      <c r="C405" s="2"/>
      <c r="D405" s="2"/>
      <c r="E405" s="2"/>
      <c r="F405" s="2"/>
    </row>
    <row r="406">
      <c r="A406" s="2"/>
      <c r="B406" s="2"/>
      <c r="C406" s="2"/>
      <c r="D406" s="2"/>
      <c r="E406" s="2"/>
      <c r="F406" s="2"/>
    </row>
    <row r="407">
      <c r="A407" s="2"/>
      <c r="B407" s="2"/>
      <c r="C407" s="2"/>
      <c r="D407" s="2"/>
      <c r="E407" s="2"/>
      <c r="F407" s="2"/>
    </row>
    <row r="408">
      <c r="A408" s="2"/>
      <c r="B408" s="2"/>
      <c r="C408" s="2"/>
      <c r="D408" s="2"/>
      <c r="E408" s="2"/>
      <c r="F408" s="2"/>
    </row>
    <row r="409">
      <c r="A409" s="2"/>
      <c r="B409" s="2"/>
      <c r="C409" s="2"/>
      <c r="D409" s="2"/>
      <c r="E409" s="2"/>
      <c r="F409" s="2"/>
    </row>
    <row r="410">
      <c r="A410" s="2"/>
      <c r="B410" s="2"/>
      <c r="C410" s="2"/>
      <c r="D410" s="2"/>
      <c r="E410" s="2"/>
      <c r="F410" s="2"/>
    </row>
    <row r="411">
      <c r="A411" s="2"/>
      <c r="B411" s="2"/>
      <c r="C411" s="2"/>
      <c r="D411" s="2"/>
      <c r="E411" s="2"/>
      <c r="F411" s="2"/>
    </row>
    <row r="412">
      <c r="A412" s="2"/>
      <c r="B412" s="2"/>
      <c r="C412" s="2"/>
      <c r="D412" s="2"/>
      <c r="E412" s="2"/>
      <c r="F412" s="2"/>
    </row>
    <row r="413">
      <c r="A413" s="2"/>
      <c r="B413" s="2"/>
      <c r="C413" s="2"/>
      <c r="D413" s="2"/>
      <c r="E413" s="2"/>
      <c r="F413" s="2"/>
    </row>
    <row r="414">
      <c r="A414" s="2"/>
      <c r="B414" s="2"/>
      <c r="C414" s="2"/>
      <c r="D414" s="2"/>
      <c r="E414" s="2"/>
      <c r="F414" s="2"/>
    </row>
    <row r="415">
      <c r="A415" s="2"/>
      <c r="B415" s="2"/>
      <c r="C415" s="2"/>
      <c r="D415" s="2"/>
      <c r="E415" s="2"/>
      <c r="F415" s="2"/>
    </row>
    <row r="416">
      <c r="A416" s="2"/>
      <c r="B416" s="2"/>
      <c r="C416" s="2"/>
      <c r="D416" s="2"/>
      <c r="E416" s="2"/>
      <c r="F416" s="2"/>
    </row>
    <row r="417">
      <c r="A417" s="2"/>
      <c r="B417" s="2"/>
      <c r="C417" s="2"/>
      <c r="D417" s="2"/>
      <c r="E417" s="2"/>
      <c r="F417" s="2"/>
    </row>
    <row r="418">
      <c r="A418" s="2"/>
      <c r="B418" s="2"/>
      <c r="C418" s="2"/>
      <c r="D418" s="2"/>
      <c r="E418" s="2"/>
      <c r="F418" s="2"/>
    </row>
    <row r="419">
      <c r="A419" s="2"/>
      <c r="B419" s="2"/>
      <c r="C419" s="2"/>
      <c r="D419" s="2"/>
      <c r="E419" s="2"/>
      <c r="F419" s="2"/>
    </row>
    <row r="420">
      <c r="A420" s="2"/>
      <c r="B420" s="2"/>
      <c r="C420" s="2"/>
      <c r="D420" s="2"/>
      <c r="E420" s="2"/>
      <c r="F420" s="2"/>
    </row>
    <row r="421">
      <c r="A421" s="2"/>
      <c r="B421" s="2"/>
      <c r="C421" s="2"/>
      <c r="D421" s="2"/>
      <c r="E421" s="2"/>
      <c r="F421" s="2"/>
    </row>
    <row r="422">
      <c r="A422" s="2"/>
      <c r="B422" s="2"/>
      <c r="C422" s="2"/>
      <c r="D422" s="2"/>
      <c r="E422" s="2"/>
      <c r="F422" s="2"/>
    </row>
    <row r="423">
      <c r="A423" s="2"/>
      <c r="B423" s="2"/>
      <c r="C423" s="2"/>
      <c r="D423" s="2"/>
      <c r="E423" s="2"/>
      <c r="F423" s="2"/>
    </row>
    <row r="424">
      <c r="A424" s="2"/>
      <c r="B424" s="2"/>
      <c r="C424" s="2"/>
      <c r="D424" s="2"/>
      <c r="E424" s="2"/>
      <c r="F424" s="2"/>
    </row>
    <row r="425">
      <c r="A425" s="2"/>
      <c r="B425" s="2"/>
      <c r="C425" s="2"/>
      <c r="D425" s="2"/>
      <c r="E425" s="2"/>
      <c r="F425" s="2"/>
    </row>
    <row r="426">
      <c r="A426" s="2"/>
      <c r="B426" s="2"/>
      <c r="C426" s="2"/>
      <c r="D426" s="2"/>
      <c r="E426" s="2"/>
      <c r="F426" s="2"/>
    </row>
    <row r="427">
      <c r="A427" s="2"/>
      <c r="B427" s="2"/>
      <c r="C427" s="2"/>
      <c r="D427" s="2"/>
      <c r="E427" s="2"/>
      <c r="F427" s="2"/>
    </row>
    <row r="428">
      <c r="A428" s="2"/>
      <c r="B428" s="2"/>
      <c r="C428" s="2"/>
      <c r="D428" s="2"/>
      <c r="E428" s="2"/>
      <c r="F428" s="2"/>
    </row>
    <row r="429">
      <c r="A429" s="2"/>
      <c r="B429" s="2"/>
      <c r="C429" s="2"/>
      <c r="D429" s="2"/>
      <c r="E429" s="2"/>
      <c r="F429" s="2"/>
    </row>
    <row r="430">
      <c r="A430" s="2"/>
      <c r="B430" s="2"/>
      <c r="C430" s="2"/>
      <c r="D430" s="2"/>
      <c r="E430" s="2"/>
      <c r="F430" s="2"/>
    </row>
    <row r="431">
      <c r="A431" s="2"/>
      <c r="B431" s="2"/>
      <c r="C431" s="2"/>
      <c r="D431" s="2"/>
      <c r="E431" s="2"/>
      <c r="F431" s="2"/>
    </row>
    <row r="432">
      <c r="A432" s="2"/>
      <c r="B432" s="2"/>
      <c r="C432" s="2"/>
      <c r="D432" s="2"/>
      <c r="E432" s="2"/>
      <c r="F432" s="2"/>
    </row>
    <row r="433">
      <c r="A433" s="2"/>
      <c r="B433" s="2"/>
      <c r="C433" s="2"/>
      <c r="D433" s="2"/>
      <c r="E433" s="2"/>
      <c r="F433" s="2"/>
    </row>
    <row r="434">
      <c r="A434" s="2"/>
      <c r="B434" s="2"/>
      <c r="C434" s="2"/>
      <c r="D434" s="2"/>
      <c r="E434" s="2"/>
      <c r="F434" s="2"/>
    </row>
    <row r="435">
      <c r="A435" s="2"/>
      <c r="B435" s="2"/>
      <c r="C435" s="2"/>
      <c r="D435" s="2"/>
      <c r="E435" s="2"/>
      <c r="F435" s="2"/>
    </row>
    <row r="436">
      <c r="A436" s="2"/>
      <c r="B436" s="2"/>
      <c r="C436" s="2"/>
      <c r="D436" s="2"/>
      <c r="E436" s="2"/>
      <c r="F436" s="2"/>
    </row>
    <row r="437">
      <c r="A437" s="2"/>
      <c r="B437" s="2"/>
      <c r="C437" s="2"/>
      <c r="D437" s="2"/>
      <c r="E437" s="2"/>
      <c r="F437" s="2"/>
    </row>
    <row r="438">
      <c r="A438" s="2"/>
      <c r="B438" s="2"/>
      <c r="C438" s="2"/>
      <c r="D438" s="2"/>
      <c r="E438" s="2"/>
      <c r="F438" s="2"/>
    </row>
    <row r="439">
      <c r="A439" s="2"/>
      <c r="B439" s="2"/>
      <c r="C439" s="2"/>
      <c r="D439" s="2"/>
      <c r="E439" s="2"/>
      <c r="F439" s="2"/>
    </row>
    <row r="440">
      <c r="A440" s="2"/>
      <c r="B440" s="2"/>
      <c r="C440" s="2"/>
      <c r="D440" s="2"/>
      <c r="E440" s="2"/>
      <c r="F440" s="2"/>
    </row>
    <row r="441">
      <c r="A441" s="2"/>
      <c r="B441" s="2"/>
      <c r="C441" s="2"/>
      <c r="D441" s="2"/>
      <c r="E441" s="2"/>
      <c r="F441" s="2"/>
    </row>
    <row r="442">
      <c r="A442" s="2"/>
      <c r="B442" s="2"/>
      <c r="C442" s="2"/>
      <c r="D442" s="2"/>
      <c r="E442" s="2"/>
      <c r="F442" s="2"/>
    </row>
    <row r="443">
      <c r="A443" s="2"/>
      <c r="B443" s="2"/>
      <c r="C443" s="2"/>
      <c r="D443" s="2"/>
      <c r="E443" s="2"/>
      <c r="F443" s="2"/>
    </row>
    <row r="444">
      <c r="A444" s="2"/>
      <c r="B444" s="2"/>
      <c r="C444" s="2"/>
      <c r="D444" s="2"/>
      <c r="E444" s="2"/>
      <c r="F444" s="2"/>
    </row>
    <row r="445">
      <c r="A445" s="2"/>
      <c r="B445" s="2"/>
      <c r="C445" s="2"/>
      <c r="D445" s="2"/>
      <c r="E445" s="2"/>
      <c r="F445" s="2"/>
    </row>
    <row r="446">
      <c r="A446" s="2"/>
      <c r="B446" s="2"/>
      <c r="C446" s="2"/>
      <c r="D446" s="2"/>
      <c r="E446" s="2"/>
      <c r="F446" s="2"/>
    </row>
    <row r="447">
      <c r="A447" s="2"/>
      <c r="B447" s="2"/>
      <c r="C447" s="2"/>
      <c r="D447" s="2"/>
      <c r="E447" s="2"/>
      <c r="F447" s="2"/>
    </row>
    <row r="448">
      <c r="A448" s="2"/>
      <c r="B448" s="2"/>
      <c r="C448" s="2"/>
      <c r="D448" s="2"/>
      <c r="E448" s="2"/>
      <c r="F448" s="2"/>
    </row>
    <row r="449">
      <c r="A449" s="2"/>
      <c r="B449" s="2"/>
      <c r="C449" s="2"/>
      <c r="D449" s="2"/>
      <c r="E449" s="2"/>
      <c r="F449" s="2"/>
    </row>
    <row r="450">
      <c r="A450" s="2"/>
      <c r="B450" s="2"/>
      <c r="C450" s="2"/>
      <c r="D450" s="2"/>
      <c r="E450" s="2"/>
      <c r="F450" s="2"/>
    </row>
    <row r="451">
      <c r="A451" s="2"/>
      <c r="B451" s="2"/>
      <c r="C451" s="2"/>
      <c r="D451" s="2"/>
      <c r="E451" s="2"/>
      <c r="F451" s="2"/>
    </row>
    <row r="452">
      <c r="A452" s="2"/>
      <c r="B452" s="2"/>
      <c r="C452" s="2"/>
      <c r="D452" s="2"/>
      <c r="E452" s="2"/>
      <c r="F452" s="2"/>
    </row>
    <row r="453">
      <c r="A453" s="2"/>
      <c r="B453" s="2"/>
      <c r="C453" s="2"/>
      <c r="D453" s="2"/>
      <c r="E453" s="2"/>
      <c r="F453" s="2"/>
    </row>
    <row r="454">
      <c r="A454" s="2"/>
      <c r="B454" s="2"/>
      <c r="C454" s="2"/>
      <c r="D454" s="2"/>
      <c r="E454" s="2"/>
      <c r="F454" s="2"/>
    </row>
    <row r="455">
      <c r="A455" s="2"/>
      <c r="B455" s="2"/>
      <c r="C455" s="2"/>
      <c r="D455" s="2"/>
      <c r="E455" s="2"/>
      <c r="F455" s="2"/>
    </row>
    <row r="456">
      <c r="A456" s="2"/>
      <c r="B456" s="2"/>
      <c r="C456" s="2"/>
      <c r="D456" s="2"/>
      <c r="E456" s="2"/>
      <c r="F456" s="2"/>
    </row>
    <row r="457">
      <c r="A457" s="2"/>
      <c r="B457" s="2"/>
      <c r="C457" s="2"/>
      <c r="D457" s="2"/>
      <c r="E457" s="2"/>
      <c r="F457" s="2"/>
    </row>
    <row r="458">
      <c r="A458" s="2"/>
      <c r="B458" s="2"/>
      <c r="C458" s="2"/>
      <c r="D458" s="2"/>
      <c r="E458" s="2"/>
      <c r="F458" s="2"/>
    </row>
    <row r="459">
      <c r="A459" s="2"/>
      <c r="B459" s="2"/>
      <c r="C459" s="2"/>
      <c r="D459" s="2"/>
      <c r="E459" s="2"/>
      <c r="F459" s="2"/>
    </row>
    <row r="460">
      <c r="A460" s="2"/>
      <c r="B460" s="2"/>
      <c r="C460" s="2"/>
      <c r="D460" s="2"/>
      <c r="E460" s="2"/>
      <c r="F460" s="2"/>
    </row>
    <row r="461">
      <c r="A461" s="2"/>
      <c r="B461" s="2"/>
      <c r="C461" s="2"/>
      <c r="D461" s="2"/>
      <c r="E461" s="2"/>
      <c r="F461" s="2"/>
    </row>
    <row r="462">
      <c r="A462" s="2"/>
      <c r="B462" s="2"/>
      <c r="C462" s="2"/>
      <c r="D462" s="2"/>
      <c r="E462" s="2"/>
      <c r="F462" s="2"/>
    </row>
    <row r="463">
      <c r="A463" s="2"/>
      <c r="B463" s="2"/>
      <c r="C463" s="2"/>
      <c r="D463" s="2"/>
      <c r="E463" s="2"/>
      <c r="F463" s="2"/>
    </row>
    <row r="464">
      <c r="A464" s="2"/>
      <c r="B464" s="2"/>
      <c r="C464" s="2"/>
      <c r="D464" s="2"/>
      <c r="E464" s="2"/>
      <c r="F464" s="2"/>
    </row>
    <row r="465">
      <c r="A465" s="2"/>
      <c r="B465" s="2"/>
      <c r="C465" s="2"/>
      <c r="D465" s="2"/>
      <c r="E465" s="2"/>
      <c r="F465" s="2"/>
    </row>
    <row r="466">
      <c r="A466" s="2"/>
      <c r="B466" s="2"/>
      <c r="C466" s="2"/>
      <c r="D466" s="2"/>
      <c r="E466" s="2"/>
      <c r="F466" s="2"/>
    </row>
    <row r="467">
      <c r="A467" s="2"/>
      <c r="B467" s="2"/>
      <c r="C467" s="2"/>
      <c r="D467" s="2"/>
      <c r="E467" s="2"/>
      <c r="F467" s="2"/>
    </row>
    <row r="468">
      <c r="A468" s="2"/>
      <c r="B468" s="2"/>
      <c r="C468" s="2"/>
      <c r="D468" s="2"/>
      <c r="E468" s="2"/>
      <c r="F468" s="2"/>
    </row>
    <row r="469">
      <c r="A469" s="2"/>
      <c r="B469" s="2"/>
      <c r="C469" s="2"/>
      <c r="D469" s="2"/>
      <c r="E469" s="2"/>
      <c r="F469" s="2"/>
    </row>
    <row r="470">
      <c r="A470" s="2"/>
      <c r="B470" s="2"/>
      <c r="C470" s="2"/>
      <c r="D470" s="2"/>
      <c r="E470" s="2"/>
      <c r="F470" s="2"/>
    </row>
    <row r="471">
      <c r="A471" s="2"/>
      <c r="B471" s="2"/>
      <c r="C471" s="2"/>
      <c r="D471" s="2"/>
      <c r="E471" s="2"/>
      <c r="F471" s="2"/>
    </row>
    <row r="472">
      <c r="A472" s="2"/>
      <c r="B472" s="2"/>
      <c r="C472" s="2"/>
      <c r="D472" s="2"/>
      <c r="E472" s="2"/>
      <c r="F472" s="2"/>
    </row>
    <row r="473">
      <c r="A473" s="2"/>
      <c r="B473" s="2"/>
      <c r="C473" s="2"/>
      <c r="D473" s="2"/>
      <c r="E473" s="2"/>
      <c r="F473" s="2"/>
    </row>
    <row r="474">
      <c r="A474" s="2"/>
      <c r="B474" s="2"/>
      <c r="C474" s="2"/>
      <c r="D474" s="2"/>
      <c r="E474" s="2"/>
      <c r="F474" s="2"/>
    </row>
    <row r="475">
      <c r="A475" s="2"/>
      <c r="B475" s="2"/>
      <c r="C475" s="2"/>
      <c r="D475" s="2"/>
      <c r="E475" s="2"/>
      <c r="F475" s="2"/>
    </row>
    <row r="476">
      <c r="A476" s="2"/>
      <c r="B476" s="2"/>
      <c r="C476" s="2"/>
      <c r="D476" s="2"/>
      <c r="E476" s="2"/>
      <c r="F476" s="2"/>
    </row>
    <row r="477">
      <c r="A477" s="2"/>
      <c r="B477" s="2"/>
      <c r="C477" s="2"/>
      <c r="D477" s="2"/>
      <c r="E477" s="2"/>
      <c r="F477" s="2"/>
    </row>
    <row r="478">
      <c r="A478" s="2"/>
      <c r="B478" s="2"/>
      <c r="C478" s="2"/>
      <c r="D478" s="2"/>
      <c r="E478" s="2"/>
      <c r="F478" s="2"/>
    </row>
    <row r="479">
      <c r="A479" s="2"/>
      <c r="B479" s="2"/>
      <c r="C479" s="2"/>
      <c r="D479" s="2"/>
      <c r="E479" s="2"/>
      <c r="F479" s="2"/>
    </row>
    <row r="480">
      <c r="A480" s="2"/>
      <c r="B480" s="2"/>
      <c r="C480" s="2"/>
      <c r="D480" s="2"/>
      <c r="E480" s="2"/>
      <c r="F480" s="2"/>
    </row>
    <row r="481">
      <c r="A481" s="2"/>
      <c r="B481" s="2"/>
      <c r="C481" s="2"/>
      <c r="D481" s="2"/>
      <c r="E481" s="2"/>
      <c r="F481" s="2"/>
    </row>
    <row r="482">
      <c r="A482" s="2"/>
      <c r="B482" s="2"/>
      <c r="C482" s="2"/>
      <c r="D482" s="2"/>
      <c r="E482" s="2"/>
      <c r="F482" s="2"/>
    </row>
    <row r="483">
      <c r="A483" s="2"/>
      <c r="B483" s="2"/>
      <c r="C483" s="2"/>
      <c r="D483" s="2"/>
      <c r="E483" s="2"/>
      <c r="F483" s="2"/>
    </row>
    <row r="484">
      <c r="A484" s="2"/>
      <c r="B484" s="2"/>
      <c r="C484" s="2"/>
      <c r="D484" s="2"/>
      <c r="E484" s="2"/>
      <c r="F484" s="2"/>
    </row>
    <row r="485">
      <c r="A485" s="2"/>
      <c r="B485" s="2"/>
      <c r="C485" s="2"/>
      <c r="D485" s="2"/>
      <c r="E485" s="2"/>
      <c r="F485" s="2"/>
    </row>
    <row r="486">
      <c r="A486" s="2"/>
      <c r="B486" s="2"/>
      <c r="C486" s="2"/>
      <c r="D486" s="2"/>
      <c r="E486" s="2"/>
      <c r="F486" s="2"/>
    </row>
    <row r="487">
      <c r="A487" s="2"/>
      <c r="B487" s="2"/>
      <c r="C487" s="2"/>
      <c r="D487" s="2"/>
      <c r="E487" s="2"/>
      <c r="F487" s="2"/>
    </row>
    <row r="488">
      <c r="A488" s="2"/>
      <c r="B488" s="2"/>
      <c r="C488" s="2"/>
      <c r="D488" s="2"/>
      <c r="E488" s="2"/>
      <c r="F488" s="2"/>
    </row>
    <row r="489">
      <c r="A489" s="2"/>
      <c r="B489" s="2"/>
      <c r="C489" s="2"/>
      <c r="D489" s="2"/>
      <c r="E489" s="2"/>
      <c r="F489" s="2"/>
    </row>
    <row r="490">
      <c r="A490" s="2"/>
      <c r="B490" s="2"/>
      <c r="C490" s="2"/>
      <c r="D490" s="2"/>
      <c r="E490" s="2"/>
      <c r="F490" s="2"/>
    </row>
    <row r="491">
      <c r="A491" s="2"/>
      <c r="B491" s="2"/>
      <c r="C491" s="2"/>
      <c r="D491" s="2"/>
      <c r="E491" s="2"/>
      <c r="F491" s="2"/>
    </row>
    <row r="492">
      <c r="A492" s="2"/>
      <c r="B492" s="2"/>
      <c r="C492" s="2"/>
      <c r="D492" s="2"/>
      <c r="E492" s="2"/>
      <c r="F492" s="2"/>
    </row>
    <row r="493">
      <c r="A493" s="2"/>
      <c r="B493" s="2"/>
      <c r="C493" s="2"/>
      <c r="D493" s="2"/>
      <c r="E493" s="2"/>
      <c r="F493" s="2"/>
    </row>
    <row r="494">
      <c r="A494" s="2"/>
      <c r="B494" s="2"/>
      <c r="C494" s="2"/>
      <c r="D494" s="2"/>
      <c r="E494" s="2"/>
      <c r="F494" s="2"/>
    </row>
    <row r="495">
      <c r="A495" s="2"/>
      <c r="B495" s="2"/>
      <c r="C495" s="2"/>
      <c r="D495" s="2"/>
      <c r="E495" s="2"/>
      <c r="F495" s="2"/>
    </row>
    <row r="496">
      <c r="A496" s="2"/>
      <c r="B496" s="2"/>
      <c r="C496" s="2"/>
      <c r="D496" s="2"/>
      <c r="E496" s="2"/>
      <c r="F496" s="2"/>
    </row>
    <row r="497">
      <c r="A497" s="2"/>
      <c r="B497" s="2"/>
      <c r="C497" s="2"/>
      <c r="D497" s="2"/>
      <c r="E497" s="2"/>
      <c r="F497" s="2"/>
    </row>
    <row r="498">
      <c r="A498" s="2"/>
      <c r="B498" s="2"/>
      <c r="C498" s="2"/>
      <c r="D498" s="2"/>
      <c r="E498" s="2"/>
      <c r="F498" s="2"/>
    </row>
    <row r="499">
      <c r="A499" s="2"/>
      <c r="B499" s="2"/>
      <c r="C499" s="2"/>
      <c r="D499" s="2"/>
      <c r="E499" s="2"/>
      <c r="F499" s="2"/>
    </row>
    <row r="500">
      <c r="A500" s="2"/>
      <c r="B500" s="2"/>
      <c r="C500" s="2"/>
      <c r="D500" s="2"/>
      <c r="E500" s="2"/>
      <c r="F500" s="2"/>
    </row>
    <row r="501">
      <c r="A501" s="2"/>
      <c r="B501" s="2"/>
      <c r="C501" s="2"/>
      <c r="D501" s="2"/>
      <c r="E501" s="2"/>
      <c r="F501" s="2"/>
    </row>
    <row r="502">
      <c r="A502" s="2"/>
      <c r="B502" s="2"/>
      <c r="C502" s="2"/>
      <c r="D502" s="2"/>
      <c r="E502" s="2"/>
      <c r="F502" s="2"/>
    </row>
    <row r="503">
      <c r="A503" s="2"/>
      <c r="B503" s="2"/>
      <c r="C503" s="2"/>
      <c r="D503" s="2"/>
      <c r="E503" s="2"/>
      <c r="F503" s="2"/>
    </row>
    <row r="504">
      <c r="A504" s="2"/>
      <c r="B504" s="2"/>
      <c r="C504" s="2"/>
      <c r="D504" s="2"/>
      <c r="E504" s="2"/>
      <c r="F504" s="2"/>
    </row>
    <row r="505">
      <c r="A505" s="2"/>
      <c r="B505" s="2"/>
      <c r="C505" s="2"/>
      <c r="D505" s="2"/>
      <c r="E505" s="2"/>
      <c r="F505" s="2"/>
    </row>
    <row r="506">
      <c r="A506" s="2"/>
      <c r="B506" s="2"/>
      <c r="C506" s="2"/>
      <c r="D506" s="2"/>
      <c r="E506" s="2"/>
      <c r="F506" s="2"/>
    </row>
    <row r="507">
      <c r="A507" s="2"/>
      <c r="B507" s="2"/>
      <c r="C507" s="2"/>
      <c r="D507" s="2"/>
      <c r="E507" s="2"/>
      <c r="F507" s="2"/>
    </row>
    <row r="508">
      <c r="A508" s="2"/>
      <c r="B508" s="2"/>
      <c r="C508" s="2"/>
      <c r="D508" s="2"/>
      <c r="E508" s="2"/>
      <c r="F508" s="2"/>
    </row>
    <row r="509">
      <c r="A509" s="2"/>
      <c r="B509" s="2"/>
      <c r="C509" s="2"/>
      <c r="D509" s="2"/>
      <c r="E509" s="2"/>
      <c r="F509" s="2"/>
    </row>
    <row r="510">
      <c r="A510" s="2"/>
      <c r="B510" s="2"/>
      <c r="C510" s="2"/>
      <c r="D510" s="2"/>
      <c r="E510" s="2"/>
      <c r="F510" s="2"/>
    </row>
    <row r="511">
      <c r="A511" s="2"/>
      <c r="B511" s="2"/>
      <c r="C511" s="2"/>
      <c r="D511" s="2"/>
      <c r="E511" s="2"/>
      <c r="F511" s="2"/>
    </row>
    <row r="512">
      <c r="A512" s="2"/>
      <c r="B512" s="2"/>
      <c r="C512" s="2"/>
      <c r="D512" s="2"/>
      <c r="E512" s="2"/>
      <c r="F512" s="2"/>
    </row>
    <row r="513">
      <c r="A513" s="2"/>
      <c r="B513" s="2"/>
      <c r="C513" s="2"/>
      <c r="D513" s="2"/>
      <c r="E513" s="2"/>
      <c r="F513" s="2"/>
    </row>
    <row r="514">
      <c r="A514" s="2"/>
      <c r="B514" s="2"/>
      <c r="C514" s="2"/>
      <c r="D514" s="2"/>
      <c r="E514" s="2"/>
      <c r="F514" s="2"/>
    </row>
    <row r="515">
      <c r="A515" s="2"/>
      <c r="B515" s="2"/>
      <c r="C515" s="2"/>
      <c r="D515" s="2"/>
      <c r="E515" s="2"/>
      <c r="F515" s="2"/>
    </row>
    <row r="516">
      <c r="A516" s="2"/>
      <c r="B516" s="2"/>
      <c r="C516" s="2"/>
      <c r="D516" s="2"/>
      <c r="E516" s="2"/>
      <c r="F516" s="2"/>
    </row>
    <row r="517">
      <c r="A517" s="2"/>
      <c r="B517" s="2"/>
      <c r="C517" s="2"/>
      <c r="D517" s="2"/>
      <c r="E517" s="2"/>
      <c r="F517" s="2"/>
    </row>
    <row r="518">
      <c r="A518" s="2"/>
      <c r="B518" s="2"/>
      <c r="C518" s="2"/>
      <c r="D518" s="2"/>
      <c r="E518" s="2"/>
      <c r="F518" s="2"/>
    </row>
    <row r="519">
      <c r="A519" s="2"/>
      <c r="B519" s="2"/>
      <c r="C519" s="2"/>
      <c r="D519" s="2"/>
      <c r="E519" s="2"/>
      <c r="F519" s="2"/>
    </row>
    <row r="520">
      <c r="A520" s="2"/>
      <c r="B520" s="2"/>
      <c r="C520" s="2"/>
      <c r="D520" s="2"/>
      <c r="E520" s="2"/>
      <c r="F520" s="2"/>
    </row>
    <row r="521">
      <c r="A521" s="2"/>
      <c r="B521" s="2"/>
      <c r="C521" s="2"/>
      <c r="D521" s="2"/>
      <c r="E521" s="2"/>
      <c r="F521" s="2"/>
    </row>
    <row r="522">
      <c r="A522" s="2"/>
      <c r="B522" s="2"/>
      <c r="C522" s="2"/>
      <c r="D522" s="2"/>
      <c r="E522" s="2"/>
      <c r="F522" s="2"/>
    </row>
    <row r="523">
      <c r="A523" s="2"/>
      <c r="B523" s="2"/>
      <c r="C523" s="2"/>
      <c r="D523" s="2"/>
      <c r="E523" s="2"/>
      <c r="F523" s="2"/>
    </row>
    <row r="524">
      <c r="A524" s="2"/>
      <c r="B524" s="2"/>
      <c r="C524" s="2"/>
      <c r="D524" s="2"/>
      <c r="E524" s="2"/>
      <c r="F524" s="2"/>
    </row>
    <row r="525">
      <c r="A525" s="2"/>
      <c r="B525" s="2"/>
      <c r="C525" s="2"/>
      <c r="D525" s="2"/>
      <c r="E525" s="2"/>
      <c r="F525" s="2"/>
    </row>
    <row r="526">
      <c r="A526" s="2"/>
      <c r="B526" s="2"/>
      <c r="C526" s="2"/>
      <c r="D526" s="2"/>
      <c r="E526" s="2"/>
      <c r="F526" s="2"/>
    </row>
    <row r="527">
      <c r="A527" s="2"/>
      <c r="B527" s="2"/>
      <c r="C527" s="2"/>
      <c r="D527" s="2"/>
      <c r="E527" s="2"/>
      <c r="F527" s="2"/>
    </row>
    <row r="528">
      <c r="A528" s="2"/>
      <c r="B528" s="2"/>
      <c r="C528" s="2"/>
      <c r="D528" s="2"/>
      <c r="E528" s="2"/>
      <c r="F528" s="2"/>
    </row>
    <row r="529">
      <c r="A529" s="2"/>
      <c r="B529" s="2"/>
      <c r="C529" s="2"/>
      <c r="D529" s="2"/>
      <c r="E529" s="2"/>
      <c r="F529" s="2"/>
    </row>
    <row r="530">
      <c r="A530" s="2"/>
      <c r="B530" s="2"/>
      <c r="C530" s="2"/>
      <c r="D530" s="2"/>
      <c r="E530" s="2"/>
      <c r="F530" s="2"/>
    </row>
    <row r="531">
      <c r="A531" s="2"/>
      <c r="B531" s="2"/>
      <c r="C531" s="2"/>
      <c r="D531" s="2"/>
      <c r="E531" s="2"/>
      <c r="F531" s="2"/>
    </row>
    <row r="532">
      <c r="A532" s="2"/>
      <c r="B532" s="2"/>
      <c r="C532" s="2"/>
      <c r="D532" s="2"/>
      <c r="E532" s="2"/>
      <c r="F532" s="2"/>
    </row>
    <row r="533">
      <c r="A533" s="2"/>
      <c r="B533" s="2"/>
      <c r="C533" s="2"/>
      <c r="D533" s="2"/>
      <c r="E533" s="2"/>
      <c r="F533" s="2"/>
    </row>
    <row r="534">
      <c r="A534" s="2"/>
      <c r="B534" s="2"/>
      <c r="C534" s="2"/>
      <c r="D534" s="2"/>
      <c r="E534" s="2"/>
      <c r="F534" s="2"/>
    </row>
    <row r="535">
      <c r="A535" s="2"/>
      <c r="B535" s="2"/>
      <c r="C535" s="2"/>
      <c r="D535" s="2"/>
      <c r="E535" s="2"/>
      <c r="F535" s="2"/>
    </row>
    <row r="536">
      <c r="A536" s="2"/>
      <c r="B536" s="2"/>
      <c r="C536" s="2"/>
      <c r="D536" s="2"/>
      <c r="E536" s="2"/>
      <c r="F536" s="2"/>
    </row>
    <row r="537">
      <c r="A537" s="2"/>
      <c r="B537" s="2"/>
      <c r="C537" s="2"/>
      <c r="D537" s="2"/>
      <c r="E537" s="2"/>
      <c r="F537" s="2"/>
    </row>
    <row r="538">
      <c r="A538" s="2"/>
      <c r="B538" s="2"/>
      <c r="C538" s="2"/>
      <c r="D538" s="2"/>
      <c r="E538" s="2"/>
      <c r="F538" s="2"/>
    </row>
    <row r="539">
      <c r="A539" s="2"/>
      <c r="B539" s="2"/>
      <c r="C539" s="2"/>
      <c r="D539" s="2"/>
      <c r="E539" s="2"/>
      <c r="F539" s="2"/>
    </row>
    <row r="540">
      <c r="A540" s="2"/>
      <c r="B540" s="2"/>
      <c r="C540" s="2"/>
      <c r="D540" s="2"/>
      <c r="E540" s="2"/>
      <c r="F540" s="2"/>
    </row>
    <row r="541">
      <c r="A541" s="2"/>
      <c r="B541" s="2"/>
      <c r="C541" s="2"/>
      <c r="D541" s="2"/>
      <c r="E541" s="2"/>
      <c r="F541" s="2"/>
    </row>
    <row r="542">
      <c r="A542" s="2"/>
      <c r="B542" s="2"/>
      <c r="C542" s="2"/>
      <c r="D542" s="2"/>
      <c r="E542" s="2"/>
      <c r="F542" s="2"/>
    </row>
    <row r="543">
      <c r="A543" s="2"/>
      <c r="B543" s="2"/>
      <c r="C543" s="2"/>
      <c r="D543" s="2"/>
      <c r="E543" s="2"/>
      <c r="F543" s="2"/>
    </row>
    <row r="544">
      <c r="A544" s="2"/>
      <c r="B544" s="2"/>
      <c r="C544" s="2"/>
      <c r="D544" s="2"/>
      <c r="E544" s="2"/>
      <c r="F544" s="2"/>
    </row>
    <row r="545">
      <c r="A545" s="2"/>
      <c r="B545" s="2"/>
      <c r="C545" s="2"/>
      <c r="D545" s="2"/>
      <c r="E545" s="2"/>
      <c r="F545" s="2"/>
    </row>
    <row r="546">
      <c r="A546" s="2"/>
      <c r="B546" s="2"/>
      <c r="C546" s="2"/>
      <c r="D546" s="2"/>
      <c r="E546" s="2"/>
      <c r="F546" s="2"/>
    </row>
    <row r="547">
      <c r="A547" s="2"/>
      <c r="B547" s="2"/>
      <c r="C547" s="2"/>
      <c r="D547" s="2"/>
      <c r="E547" s="2"/>
      <c r="F547" s="2"/>
    </row>
    <row r="548">
      <c r="A548" s="2"/>
      <c r="B548" s="2"/>
      <c r="C548" s="2"/>
      <c r="D548" s="2"/>
      <c r="E548" s="2"/>
      <c r="F548" s="2"/>
    </row>
    <row r="549">
      <c r="A549" s="2"/>
      <c r="B549" s="2"/>
      <c r="C549" s="2"/>
      <c r="D549" s="2"/>
      <c r="E549" s="2"/>
      <c r="F549" s="2"/>
    </row>
    <row r="550">
      <c r="A550" s="2"/>
      <c r="B550" s="2"/>
      <c r="C550" s="2"/>
      <c r="D550" s="2"/>
      <c r="E550" s="2"/>
      <c r="F550" s="2"/>
    </row>
    <row r="551">
      <c r="A551" s="2"/>
      <c r="B551" s="2"/>
      <c r="C551" s="2"/>
      <c r="D551" s="2"/>
      <c r="E551" s="2"/>
      <c r="F551" s="2"/>
    </row>
    <row r="552">
      <c r="A552" s="2"/>
      <c r="B552" s="2"/>
      <c r="C552" s="2"/>
      <c r="D552" s="2"/>
      <c r="E552" s="2"/>
      <c r="F552" s="2"/>
    </row>
    <row r="553">
      <c r="A553" s="2"/>
      <c r="B553" s="2"/>
      <c r="C553" s="2"/>
      <c r="D553" s="2"/>
      <c r="E553" s="2"/>
      <c r="F553" s="2"/>
    </row>
    <row r="554">
      <c r="A554" s="2"/>
      <c r="B554" s="2"/>
      <c r="C554" s="2"/>
      <c r="D554" s="2"/>
      <c r="E554" s="2"/>
      <c r="F554" s="2"/>
    </row>
    <row r="555">
      <c r="A555" s="2"/>
      <c r="B555" s="2"/>
      <c r="C555" s="2"/>
      <c r="D555" s="2"/>
      <c r="E555" s="2"/>
      <c r="F555" s="2"/>
    </row>
    <row r="556">
      <c r="A556" s="2"/>
      <c r="B556" s="2"/>
      <c r="C556" s="2"/>
      <c r="D556" s="2"/>
      <c r="E556" s="2"/>
      <c r="F556" s="2"/>
    </row>
    <row r="557">
      <c r="A557" s="2"/>
      <c r="B557" s="2"/>
      <c r="C557" s="2"/>
      <c r="D557" s="2"/>
      <c r="E557" s="2"/>
      <c r="F557" s="2"/>
    </row>
    <row r="558">
      <c r="A558" s="2"/>
      <c r="B558" s="2"/>
      <c r="C558" s="2"/>
      <c r="D558" s="2"/>
      <c r="E558" s="2"/>
      <c r="F558" s="2"/>
    </row>
    <row r="559">
      <c r="A559" s="2"/>
      <c r="B559" s="2"/>
      <c r="C559" s="2"/>
      <c r="D559" s="2"/>
      <c r="E559" s="2"/>
      <c r="F559" s="2"/>
    </row>
    <row r="560">
      <c r="A560" s="2"/>
      <c r="B560" s="2"/>
      <c r="C560" s="2"/>
      <c r="D560" s="2"/>
      <c r="E560" s="2"/>
      <c r="F560" s="2"/>
    </row>
    <row r="561">
      <c r="A561" s="2"/>
      <c r="B561" s="2"/>
      <c r="C561" s="2"/>
      <c r="D561" s="2"/>
      <c r="E561" s="2"/>
      <c r="F561" s="2"/>
    </row>
    <row r="562">
      <c r="A562" s="2"/>
      <c r="B562" s="2"/>
      <c r="C562" s="2"/>
      <c r="D562" s="2"/>
      <c r="E562" s="2"/>
      <c r="F562" s="2"/>
    </row>
    <row r="563">
      <c r="A563" s="2"/>
      <c r="B563" s="2"/>
      <c r="C563" s="2"/>
      <c r="D563" s="2"/>
      <c r="E563" s="2"/>
      <c r="F563" s="2"/>
    </row>
    <row r="564">
      <c r="A564" s="2"/>
      <c r="B564" s="2"/>
      <c r="C564" s="2"/>
      <c r="D564" s="2"/>
      <c r="E564" s="2"/>
      <c r="F564" s="2"/>
    </row>
    <row r="565">
      <c r="A565" s="2"/>
      <c r="B565" s="2"/>
      <c r="C565" s="2"/>
      <c r="D565" s="2"/>
      <c r="E565" s="2"/>
      <c r="F565" s="2"/>
    </row>
    <row r="566">
      <c r="A566" s="2"/>
      <c r="B566" s="2"/>
      <c r="C566" s="2"/>
      <c r="D566" s="2"/>
      <c r="E566" s="2"/>
      <c r="F566" s="2"/>
    </row>
    <row r="567">
      <c r="A567" s="2"/>
      <c r="B567" s="2"/>
      <c r="C567" s="2"/>
      <c r="D567" s="2"/>
      <c r="E567" s="2"/>
      <c r="F567" s="2"/>
    </row>
    <row r="568">
      <c r="A568" s="2"/>
      <c r="B568" s="2"/>
      <c r="C568" s="2"/>
      <c r="D568" s="2"/>
      <c r="E568" s="2"/>
      <c r="F568" s="2"/>
    </row>
    <row r="569">
      <c r="A569" s="2"/>
      <c r="B569" s="2"/>
      <c r="C569" s="2"/>
      <c r="D569" s="2"/>
      <c r="E569" s="2"/>
      <c r="F569" s="2"/>
    </row>
    <row r="570">
      <c r="A570" s="2"/>
      <c r="B570" s="2"/>
      <c r="C570" s="2"/>
      <c r="D570" s="2"/>
      <c r="E570" s="2"/>
      <c r="F570" s="2"/>
    </row>
    <row r="571">
      <c r="A571" s="2"/>
      <c r="B571" s="2"/>
      <c r="C571" s="2"/>
      <c r="D571" s="2"/>
      <c r="E571" s="2"/>
      <c r="F571" s="2"/>
    </row>
    <row r="572">
      <c r="A572" s="2"/>
      <c r="B572" s="2"/>
      <c r="C572" s="2"/>
      <c r="D572" s="2"/>
      <c r="E572" s="2"/>
      <c r="F572" s="2"/>
    </row>
    <row r="573">
      <c r="A573" s="2"/>
      <c r="B573" s="2"/>
      <c r="C573" s="2"/>
      <c r="D573" s="2"/>
      <c r="E573" s="2"/>
      <c r="F573" s="2"/>
    </row>
    <row r="574">
      <c r="A574" s="2"/>
      <c r="B574" s="2"/>
      <c r="C574" s="2"/>
      <c r="D574" s="2"/>
      <c r="E574" s="2"/>
      <c r="F574" s="2"/>
    </row>
    <row r="575">
      <c r="A575" s="2"/>
      <c r="B575" s="2"/>
      <c r="C575" s="2"/>
      <c r="D575" s="2"/>
      <c r="E575" s="2"/>
      <c r="F575" s="2"/>
    </row>
    <row r="576">
      <c r="A576" s="2"/>
      <c r="B576" s="2"/>
      <c r="C576" s="2"/>
      <c r="D576" s="2"/>
      <c r="E576" s="2"/>
      <c r="F576" s="2"/>
    </row>
    <row r="577">
      <c r="A577" s="2"/>
      <c r="B577" s="2"/>
      <c r="C577" s="2"/>
      <c r="D577" s="2"/>
      <c r="E577" s="2"/>
      <c r="F577" s="2"/>
    </row>
    <row r="578">
      <c r="A578" s="2"/>
      <c r="B578" s="2"/>
      <c r="C578" s="2"/>
      <c r="D578" s="2"/>
      <c r="E578" s="2"/>
      <c r="F578" s="2"/>
    </row>
    <row r="579">
      <c r="A579" s="2"/>
      <c r="B579" s="2"/>
      <c r="C579" s="2"/>
      <c r="D579" s="2"/>
      <c r="E579" s="2"/>
      <c r="F579" s="2"/>
    </row>
    <row r="580">
      <c r="A580" s="2"/>
      <c r="B580" s="2"/>
      <c r="C580" s="2"/>
      <c r="D580" s="2"/>
      <c r="E580" s="2"/>
      <c r="F580" s="2"/>
    </row>
    <row r="581">
      <c r="A581" s="2"/>
      <c r="B581" s="2"/>
      <c r="C581" s="2"/>
      <c r="D581" s="2"/>
      <c r="E581" s="2"/>
      <c r="F581" s="2"/>
    </row>
    <row r="582">
      <c r="A582" s="2"/>
      <c r="B582" s="2"/>
      <c r="C582" s="2"/>
      <c r="D582" s="2"/>
      <c r="E582" s="2"/>
      <c r="F582" s="2"/>
    </row>
    <row r="583">
      <c r="A583" s="2"/>
      <c r="B583" s="2"/>
      <c r="C583" s="2"/>
      <c r="D583" s="2"/>
      <c r="E583" s="2"/>
      <c r="F583" s="2"/>
    </row>
    <row r="584">
      <c r="A584" s="2"/>
      <c r="B584" s="2"/>
      <c r="C584" s="2"/>
      <c r="D584" s="2"/>
      <c r="E584" s="2"/>
      <c r="F584" s="2"/>
    </row>
    <row r="585">
      <c r="A585" s="2"/>
      <c r="B585" s="2"/>
      <c r="C585" s="2"/>
      <c r="D585" s="2"/>
      <c r="E585" s="2"/>
      <c r="F585" s="2"/>
    </row>
    <row r="586">
      <c r="A586" s="2"/>
      <c r="B586" s="2"/>
      <c r="C586" s="2"/>
      <c r="D586" s="2"/>
      <c r="E586" s="2"/>
      <c r="F586" s="2"/>
    </row>
    <row r="587">
      <c r="A587" s="2"/>
      <c r="B587" s="2"/>
      <c r="C587" s="2"/>
      <c r="D587" s="2"/>
      <c r="E587" s="2"/>
      <c r="F587" s="2"/>
    </row>
    <row r="588">
      <c r="A588" s="2"/>
      <c r="B588" s="2"/>
      <c r="C588" s="2"/>
      <c r="D588" s="2"/>
      <c r="E588" s="2"/>
      <c r="F588" s="2"/>
    </row>
    <row r="589">
      <c r="A589" s="2"/>
      <c r="B589" s="2"/>
      <c r="C589" s="2"/>
      <c r="D589" s="2"/>
      <c r="E589" s="2"/>
      <c r="F589" s="2"/>
    </row>
    <row r="590">
      <c r="A590" s="2"/>
      <c r="B590" s="2"/>
      <c r="C590" s="2"/>
      <c r="D590" s="2"/>
      <c r="E590" s="2"/>
      <c r="F590" s="2"/>
    </row>
    <row r="591">
      <c r="A591" s="2"/>
      <c r="B591" s="2"/>
      <c r="C591" s="2"/>
      <c r="D591" s="2"/>
      <c r="E591" s="2"/>
      <c r="F591" s="2"/>
    </row>
    <row r="592">
      <c r="A592" s="2"/>
      <c r="B592" s="2"/>
      <c r="C592" s="2"/>
      <c r="D592" s="2"/>
      <c r="E592" s="2"/>
      <c r="F592" s="2"/>
    </row>
    <row r="593">
      <c r="A593" s="2"/>
      <c r="B593" s="2"/>
      <c r="C593" s="2"/>
      <c r="D593" s="2"/>
      <c r="E593" s="2"/>
      <c r="F593" s="2"/>
    </row>
    <row r="594">
      <c r="A594" s="2"/>
      <c r="B594" s="2"/>
      <c r="C594" s="2"/>
      <c r="D594" s="2"/>
      <c r="E594" s="2"/>
      <c r="F594" s="2"/>
    </row>
    <row r="595">
      <c r="A595" s="2"/>
      <c r="B595" s="2"/>
      <c r="C595" s="2"/>
      <c r="D595" s="2"/>
      <c r="E595" s="2"/>
      <c r="F595" s="2"/>
    </row>
    <row r="596">
      <c r="A596" s="2"/>
      <c r="B596" s="2"/>
      <c r="C596" s="2"/>
      <c r="D596" s="2"/>
      <c r="E596" s="2"/>
      <c r="F596" s="2"/>
    </row>
    <row r="597">
      <c r="A597" s="2"/>
      <c r="B597" s="2"/>
      <c r="C597" s="2"/>
      <c r="D597" s="2"/>
      <c r="E597" s="2"/>
      <c r="F597" s="2"/>
    </row>
    <row r="598">
      <c r="A598" s="2"/>
      <c r="B598" s="2"/>
      <c r="C598" s="2"/>
      <c r="D598" s="2"/>
      <c r="E598" s="2"/>
      <c r="F598" s="2"/>
    </row>
    <row r="599">
      <c r="A599" s="2"/>
      <c r="B599" s="2"/>
      <c r="C599" s="2"/>
      <c r="D599" s="2"/>
      <c r="E599" s="2"/>
      <c r="F599" s="2"/>
    </row>
    <row r="600">
      <c r="A600" s="2"/>
      <c r="B600" s="2"/>
      <c r="C600" s="2"/>
      <c r="D600" s="2"/>
      <c r="E600" s="2"/>
      <c r="F600" s="2"/>
    </row>
    <row r="601">
      <c r="A601" s="2"/>
      <c r="B601" s="2"/>
      <c r="C601" s="2"/>
      <c r="D601" s="2"/>
      <c r="E601" s="2"/>
      <c r="F601" s="2"/>
    </row>
    <row r="602">
      <c r="A602" s="2"/>
      <c r="B602" s="2"/>
      <c r="C602" s="2"/>
      <c r="D602" s="2"/>
      <c r="E602" s="2"/>
      <c r="F602" s="2"/>
    </row>
    <row r="603">
      <c r="A603" s="2"/>
      <c r="B603" s="2"/>
      <c r="C603" s="2"/>
      <c r="D603" s="2"/>
      <c r="E603" s="2"/>
      <c r="F603" s="2"/>
    </row>
    <row r="604">
      <c r="A604" s="2"/>
      <c r="B604" s="2"/>
      <c r="C604" s="2"/>
      <c r="D604" s="2"/>
      <c r="E604" s="2"/>
      <c r="F604" s="2"/>
    </row>
    <row r="605">
      <c r="A605" s="2"/>
      <c r="B605" s="2"/>
      <c r="C605" s="2"/>
      <c r="D605" s="2"/>
      <c r="E605" s="2"/>
      <c r="F605" s="2"/>
    </row>
    <row r="606">
      <c r="A606" s="2"/>
      <c r="B606" s="2"/>
      <c r="C606" s="2"/>
      <c r="D606" s="2"/>
      <c r="E606" s="2"/>
      <c r="F606" s="2"/>
    </row>
    <row r="607">
      <c r="A607" s="2"/>
      <c r="B607" s="2"/>
      <c r="C607" s="2"/>
      <c r="D607" s="2"/>
      <c r="E607" s="2"/>
      <c r="F607" s="2"/>
    </row>
    <row r="608">
      <c r="A608" s="2"/>
      <c r="B608" s="2"/>
      <c r="C608" s="2"/>
      <c r="D608" s="2"/>
      <c r="E608" s="2"/>
      <c r="F608" s="2"/>
    </row>
    <row r="609">
      <c r="A609" s="2"/>
      <c r="B609" s="2"/>
      <c r="C609" s="2"/>
      <c r="D609" s="2"/>
      <c r="E609" s="2"/>
      <c r="F609" s="2"/>
    </row>
    <row r="610">
      <c r="A610" s="2"/>
      <c r="B610" s="2"/>
      <c r="C610" s="2"/>
      <c r="D610" s="2"/>
      <c r="E610" s="2"/>
      <c r="F610" s="2"/>
    </row>
    <row r="611">
      <c r="A611" s="2"/>
      <c r="B611" s="2"/>
      <c r="C611" s="2"/>
      <c r="D611" s="2"/>
      <c r="E611" s="2"/>
      <c r="F611" s="2"/>
    </row>
    <row r="612">
      <c r="A612" s="2"/>
      <c r="B612" s="2"/>
      <c r="C612" s="2"/>
      <c r="D612" s="2"/>
      <c r="E612" s="2"/>
      <c r="F612" s="2"/>
    </row>
    <row r="613">
      <c r="A613" s="2"/>
      <c r="B613" s="2"/>
      <c r="C613" s="2"/>
      <c r="D613" s="2"/>
      <c r="E613" s="2"/>
      <c r="F613" s="2"/>
    </row>
    <row r="614">
      <c r="A614" s="2"/>
      <c r="B614" s="2"/>
      <c r="C614" s="2"/>
      <c r="D614" s="2"/>
      <c r="E614" s="2"/>
      <c r="F614" s="2"/>
    </row>
    <row r="615">
      <c r="A615" s="2"/>
      <c r="B615" s="2"/>
      <c r="C615" s="2"/>
      <c r="D615" s="2"/>
      <c r="E615" s="2"/>
      <c r="F615" s="2"/>
    </row>
    <row r="616">
      <c r="A616" s="2"/>
      <c r="B616" s="2"/>
      <c r="C616" s="2"/>
      <c r="D616" s="2"/>
      <c r="E616" s="2"/>
      <c r="F616" s="2"/>
    </row>
    <row r="617">
      <c r="A617" s="2"/>
      <c r="B617" s="2"/>
      <c r="C617" s="2"/>
      <c r="D617" s="2"/>
      <c r="E617" s="2"/>
      <c r="F617" s="2"/>
    </row>
    <row r="618">
      <c r="A618" s="2"/>
      <c r="B618" s="2"/>
      <c r="C618" s="2"/>
      <c r="D618" s="2"/>
      <c r="E618" s="2"/>
      <c r="F618" s="2"/>
    </row>
    <row r="619">
      <c r="A619" s="2"/>
      <c r="B619" s="2"/>
      <c r="C619" s="2"/>
      <c r="D619" s="2"/>
      <c r="E619" s="2"/>
      <c r="F619" s="2"/>
    </row>
    <row r="620">
      <c r="A620" s="2"/>
      <c r="B620" s="2"/>
      <c r="C620" s="2"/>
      <c r="D620" s="2"/>
      <c r="E620" s="2"/>
      <c r="F620" s="2"/>
    </row>
    <row r="621">
      <c r="A621" s="2"/>
      <c r="B621" s="2"/>
      <c r="C621" s="2"/>
      <c r="D621" s="2"/>
      <c r="E621" s="2"/>
      <c r="F621" s="2"/>
    </row>
    <row r="622">
      <c r="A622" s="2"/>
      <c r="B622" s="2"/>
      <c r="C622" s="2"/>
      <c r="D622" s="2"/>
      <c r="E622" s="2"/>
      <c r="F622" s="2"/>
    </row>
    <row r="623">
      <c r="A623" s="2"/>
      <c r="B623" s="2"/>
      <c r="C623" s="2"/>
      <c r="D623" s="2"/>
      <c r="E623" s="2"/>
      <c r="F623" s="2"/>
    </row>
    <row r="624">
      <c r="A624" s="2"/>
      <c r="B624" s="2"/>
      <c r="C624" s="2"/>
      <c r="D624" s="2"/>
      <c r="E624" s="2"/>
      <c r="F624" s="2"/>
    </row>
    <row r="625">
      <c r="A625" s="2"/>
      <c r="B625" s="2"/>
      <c r="C625" s="2"/>
      <c r="D625" s="2"/>
      <c r="E625" s="2"/>
      <c r="F625" s="2"/>
    </row>
    <row r="626">
      <c r="A626" s="2"/>
      <c r="B626" s="2"/>
      <c r="C626" s="2"/>
      <c r="D626" s="2"/>
      <c r="E626" s="2"/>
      <c r="F626" s="2"/>
    </row>
    <row r="627">
      <c r="A627" s="2"/>
      <c r="B627" s="2"/>
      <c r="C627" s="2"/>
      <c r="D627" s="2"/>
      <c r="E627" s="2"/>
      <c r="F627" s="2"/>
    </row>
    <row r="628">
      <c r="A628" s="2"/>
      <c r="B628" s="2"/>
      <c r="C628" s="2"/>
      <c r="D628" s="2"/>
      <c r="E628" s="2"/>
      <c r="F628" s="2"/>
    </row>
    <row r="629">
      <c r="A629" s="2"/>
      <c r="B629" s="2"/>
      <c r="C629" s="2"/>
      <c r="D629" s="2"/>
      <c r="E629" s="2"/>
      <c r="F629" s="2"/>
    </row>
    <row r="630">
      <c r="A630" s="2"/>
      <c r="B630" s="2"/>
      <c r="C630" s="2"/>
      <c r="D630" s="2"/>
      <c r="E630" s="2"/>
      <c r="F630" s="2"/>
    </row>
    <row r="631">
      <c r="A631" s="2"/>
      <c r="B631" s="2"/>
      <c r="C631" s="2"/>
      <c r="D631" s="2"/>
      <c r="E631" s="2"/>
      <c r="F631" s="2"/>
    </row>
    <row r="632">
      <c r="A632" s="2"/>
      <c r="B632" s="2"/>
      <c r="C632" s="2"/>
      <c r="D632" s="2"/>
      <c r="E632" s="2"/>
      <c r="F632" s="2"/>
    </row>
    <row r="633">
      <c r="A633" s="2"/>
      <c r="B633" s="2"/>
      <c r="C633" s="2"/>
      <c r="D633" s="2"/>
      <c r="E633" s="2"/>
      <c r="F633" s="2"/>
    </row>
    <row r="634">
      <c r="A634" s="2"/>
      <c r="B634" s="2"/>
      <c r="C634" s="2"/>
      <c r="D634" s="2"/>
      <c r="E634" s="2"/>
      <c r="F634" s="2"/>
    </row>
    <row r="635">
      <c r="A635" s="2"/>
      <c r="B635" s="2"/>
      <c r="C635" s="2"/>
      <c r="D635" s="2"/>
      <c r="E635" s="2"/>
      <c r="F635" s="2"/>
    </row>
    <row r="636">
      <c r="A636" s="2"/>
      <c r="B636" s="2"/>
      <c r="C636" s="2"/>
      <c r="D636" s="2"/>
      <c r="E636" s="2"/>
      <c r="F636" s="2"/>
    </row>
    <row r="637">
      <c r="A637" s="2"/>
      <c r="B637" s="2"/>
      <c r="C637" s="2"/>
      <c r="D637" s="2"/>
      <c r="E637" s="2"/>
      <c r="F637" s="2"/>
    </row>
    <row r="638">
      <c r="A638" s="2"/>
      <c r="B638" s="2"/>
      <c r="C638" s="2"/>
      <c r="D638" s="2"/>
      <c r="E638" s="2"/>
      <c r="F638" s="2"/>
    </row>
    <row r="639">
      <c r="A639" s="2"/>
      <c r="B639" s="2"/>
      <c r="C639" s="2"/>
      <c r="D639" s="2"/>
      <c r="E639" s="2"/>
      <c r="F639" s="2"/>
    </row>
    <row r="640">
      <c r="A640" s="2"/>
      <c r="B640" s="2"/>
      <c r="C640" s="2"/>
      <c r="D640" s="2"/>
      <c r="E640" s="2"/>
      <c r="F640" s="2"/>
    </row>
    <row r="641">
      <c r="A641" s="2"/>
      <c r="B641" s="2"/>
      <c r="C641" s="2"/>
      <c r="D641" s="2"/>
      <c r="E641" s="2"/>
      <c r="F641" s="2"/>
    </row>
    <row r="642">
      <c r="A642" s="2"/>
      <c r="B642" s="2"/>
      <c r="C642" s="2"/>
      <c r="D642" s="2"/>
      <c r="E642" s="2"/>
      <c r="F642" s="2"/>
    </row>
    <row r="643">
      <c r="A643" s="2"/>
      <c r="B643" s="2"/>
      <c r="C643" s="2"/>
      <c r="D643" s="2"/>
      <c r="E643" s="2"/>
      <c r="F643" s="2"/>
    </row>
    <row r="644">
      <c r="A644" s="2"/>
      <c r="B644" s="2"/>
      <c r="C644" s="2"/>
      <c r="D644" s="2"/>
      <c r="E644" s="2"/>
      <c r="F644" s="2"/>
    </row>
    <row r="645">
      <c r="A645" s="2"/>
      <c r="B645" s="2"/>
      <c r="C645" s="2"/>
      <c r="D645" s="2"/>
      <c r="E645" s="2"/>
      <c r="F645" s="2"/>
    </row>
    <row r="646">
      <c r="A646" s="2"/>
      <c r="B646" s="2"/>
      <c r="C646" s="2"/>
      <c r="D646" s="2"/>
      <c r="E646" s="2"/>
      <c r="F646" s="2"/>
    </row>
    <row r="647">
      <c r="A647" s="2"/>
      <c r="B647" s="2"/>
      <c r="C647" s="2"/>
      <c r="D647" s="2"/>
      <c r="E647" s="2"/>
      <c r="F647" s="2"/>
    </row>
    <row r="648">
      <c r="A648" s="2"/>
      <c r="B648" s="2"/>
      <c r="C648" s="2"/>
      <c r="D648" s="2"/>
      <c r="E648" s="2"/>
      <c r="F648" s="2"/>
    </row>
    <row r="649">
      <c r="A649" s="2"/>
      <c r="B649" s="2"/>
      <c r="C649" s="2"/>
      <c r="D649" s="2"/>
      <c r="E649" s="2"/>
      <c r="F649" s="2"/>
    </row>
    <row r="650">
      <c r="A650" s="2"/>
      <c r="B650" s="2"/>
      <c r="C650" s="2"/>
      <c r="D650" s="2"/>
      <c r="E650" s="2"/>
      <c r="F650" s="2"/>
    </row>
    <row r="651">
      <c r="A651" s="2"/>
      <c r="B651" s="2"/>
      <c r="C651" s="2"/>
      <c r="D651" s="2"/>
      <c r="E651" s="2"/>
      <c r="F651" s="2"/>
    </row>
    <row r="652">
      <c r="A652" s="2"/>
      <c r="B652" s="2"/>
      <c r="C652" s="2"/>
      <c r="D652" s="2"/>
      <c r="E652" s="2"/>
      <c r="F652" s="2"/>
    </row>
    <row r="653">
      <c r="A653" s="2"/>
      <c r="B653" s="2"/>
      <c r="C653" s="2"/>
      <c r="D653" s="2"/>
      <c r="E653" s="2"/>
      <c r="F653" s="2"/>
    </row>
    <row r="654">
      <c r="A654" s="2"/>
      <c r="B654" s="2"/>
      <c r="C654" s="2"/>
      <c r="D654" s="2"/>
      <c r="E654" s="2"/>
      <c r="F654" s="2"/>
    </row>
    <row r="655">
      <c r="A655" s="2"/>
      <c r="B655" s="2"/>
      <c r="C655" s="2"/>
      <c r="D655" s="2"/>
      <c r="E655" s="2"/>
      <c r="F655" s="2"/>
    </row>
    <row r="656">
      <c r="A656" s="2"/>
      <c r="B656" s="2"/>
      <c r="C656" s="2"/>
      <c r="D656" s="2"/>
      <c r="E656" s="2"/>
      <c r="F656" s="2"/>
    </row>
    <row r="657">
      <c r="A657" s="2"/>
      <c r="B657" s="2"/>
      <c r="C657" s="2"/>
      <c r="D657" s="2"/>
      <c r="E657" s="2"/>
      <c r="F657" s="2"/>
    </row>
    <row r="658">
      <c r="A658" s="2"/>
      <c r="B658" s="2"/>
      <c r="C658" s="2"/>
      <c r="D658" s="2"/>
      <c r="E658" s="2"/>
      <c r="F658" s="2"/>
    </row>
    <row r="659">
      <c r="A659" s="2"/>
      <c r="B659" s="2"/>
      <c r="C659" s="2"/>
      <c r="D659" s="2"/>
      <c r="E659" s="2"/>
      <c r="F659" s="2"/>
    </row>
    <row r="660">
      <c r="A660" s="2"/>
      <c r="B660" s="2"/>
      <c r="C660" s="2"/>
      <c r="D660" s="2"/>
      <c r="E660" s="2"/>
      <c r="F660" s="2"/>
    </row>
    <row r="661">
      <c r="A661" s="2"/>
      <c r="B661" s="2"/>
      <c r="C661" s="2"/>
      <c r="D661" s="2"/>
      <c r="E661" s="2"/>
      <c r="F661" s="2"/>
    </row>
    <row r="662">
      <c r="A662" s="2"/>
      <c r="B662" s="2"/>
      <c r="C662" s="2"/>
      <c r="D662" s="2"/>
      <c r="E662" s="2"/>
      <c r="F662" s="2"/>
    </row>
    <row r="663">
      <c r="A663" s="2"/>
      <c r="B663" s="2"/>
      <c r="C663" s="2"/>
      <c r="D663" s="2"/>
      <c r="E663" s="2"/>
      <c r="F663" s="2"/>
    </row>
    <row r="664">
      <c r="A664" s="2"/>
      <c r="B664" s="2"/>
      <c r="C664" s="2"/>
      <c r="D664" s="2"/>
      <c r="E664" s="2"/>
      <c r="F664" s="2"/>
    </row>
    <row r="665">
      <c r="A665" s="2"/>
      <c r="B665" s="2"/>
      <c r="C665" s="2"/>
      <c r="D665" s="2"/>
      <c r="E665" s="2"/>
      <c r="F665" s="2"/>
    </row>
    <row r="666">
      <c r="A666" s="2"/>
      <c r="B666" s="2"/>
      <c r="C666" s="2"/>
      <c r="D666" s="2"/>
      <c r="E666" s="2"/>
      <c r="F666" s="2"/>
    </row>
    <row r="667">
      <c r="A667" s="2"/>
      <c r="B667" s="2"/>
      <c r="C667" s="2"/>
      <c r="D667" s="2"/>
      <c r="E667" s="2"/>
      <c r="F667" s="2"/>
    </row>
    <row r="668">
      <c r="A668" s="2"/>
      <c r="B668" s="2"/>
      <c r="C668" s="2"/>
      <c r="D668" s="2"/>
      <c r="E668" s="2"/>
      <c r="F668" s="2"/>
    </row>
    <row r="669">
      <c r="A669" s="2"/>
      <c r="B669" s="2"/>
      <c r="C669" s="2"/>
      <c r="D669" s="2"/>
      <c r="E669" s="2"/>
      <c r="F669" s="2"/>
    </row>
    <row r="670">
      <c r="A670" s="2"/>
      <c r="B670" s="2"/>
      <c r="C670" s="2"/>
      <c r="D670" s="2"/>
      <c r="E670" s="2"/>
      <c r="F670" s="2"/>
    </row>
    <row r="671">
      <c r="A671" s="2"/>
      <c r="B671" s="2"/>
      <c r="C671" s="2"/>
      <c r="D671" s="2"/>
      <c r="E671" s="2"/>
      <c r="F671" s="2"/>
    </row>
    <row r="672">
      <c r="A672" s="2"/>
      <c r="B672" s="2"/>
      <c r="C672" s="2"/>
      <c r="D672" s="2"/>
      <c r="E672" s="2"/>
      <c r="F672" s="2"/>
    </row>
    <row r="673">
      <c r="A673" s="2"/>
      <c r="B673" s="2"/>
      <c r="C673" s="2"/>
      <c r="D673" s="2"/>
      <c r="E673" s="2"/>
      <c r="F673" s="2"/>
    </row>
    <row r="674">
      <c r="A674" s="2"/>
      <c r="B674" s="2"/>
      <c r="C674" s="2"/>
      <c r="D674" s="2"/>
      <c r="E674" s="2"/>
      <c r="F674" s="2"/>
    </row>
    <row r="675">
      <c r="A675" s="2"/>
      <c r="B675" s="2"/>
      <c r="C675" s="2"/>
      <c r="D675" s="2"/>
      <c r="E675" s="2"/>
      <c r="F675" s="2"/>
    </row>
    <row r="676">
      <c r="A676" s="2"/>
      <c r="B676" s="2"/>
      <c r="C676" s="2"/>
      <c r="D676" s="2"/>
      <c r="E676" s="2"/>
      <c r="F676" s="2"/>
    </row>
    <row r="677">
      <c r="A677" s="2"/>
      <c r="B677" s="2"/>
      <c r="C677" s="2"/>
      <c r="D677" s="2"/>
      <c r="E677" s="2"/>
      <c r="F677" s="2"/>
    </row>
    <row r="678">
      <c r="A678" s="2"/>
      <c r="B678" s="2"/>
      <c r="C678" s="2"/>
      <c r="D678" s="2"/>
      <c r="E678" s="2"/>
      <c r="F678" s="2"/>
    </row>
    <row r="679">
      <c r="A679" s="2"/>
      <c r="B679" s="2"/>
      <c r="C679" s="2"/>
      <c r="D679" s="2"/>
      <c r="E679" s="2"/>
      <c r="F679" s="2"/>
    </row>
    <row r="680">
      <c r="A680" s="2"/>
      <c r="B680" s="2"/>
      <c r="C680" s="2"/>
      <c r="D680" s="2"/>
      <c r="E680" s="2"/>
      <c r="F680" s="2"/>
    </row>
    <row r="681">
      <c r="A681" s="2"/>
      <c r="B681" s="2"/>
      <c r="C681" s="2"/>
      <c r="D681" s="2"/>
      <c r="E681" s="2"/>
      <c r="F681" s="2"/>
    </row>
    <row r="682">
      <c r="A682" s="2"/>
      <c r="B682" s="2"/>
      <c r="C682" s="2"/>
      <c r="D682" s="2"/>
      <c r="E682" s="2"/>
      <c r="F682" s="2"/>
    </row>
    <row r="683">
      <c r="A683" s="2"/>
      <c r="B683" s="2"/>
      <c r="C683" s="2"/>
      <c r="D683" s="2"/>
      <c r="E683" s="2"/>
      <c r="F683" s="2"/>
    </row>
    <row r="684">
      <c r="A684" s="2"/>
      <c r="B684" s="2"/>
      <c r="C684" s="2"/>
      <c r="D684" s="2"/>
      <c r="E684" s="2"/>
      <c r="F684" s="2"/>
    </row>
    <row r="685">
      <c r="A685" s="2"/>
      <c r="B685" s="2"/>
      <c r="C685" s="2"/>
      <c r="D685" s="2"/>
      <c r="E685" s="2"/>
      <c r="F685" s="2"/>
    </row>
    <row r="686">
      <c r="A686" s="2"/>
      <c r="B686" s="2"/>
      <c r="C686" s="2"/>
      <c r="D686" s="2"/>
      <c r="E686" s="2"/>
      <c r="F686" s="2"/>
    </row>
    <row r="687">
      <c r="A687" s="2"/>
      <c r="B687" s="2"/>
      <c r="C687" s="2"/>
      <c r="D687" s="2"/>
      <c r="E687" s="2"/>
      <c r="F687" s="2"/>
    </row>
    <row r="688">
      <c r="A688" s="2"/>
      <c r="B688" s="2"/>
      <c r="C688" s="2"/>
      <c r="D688" s="2"/>
      <c r="E688" s="2"/>
      <c r="F688" s="2"/>
    </row>
    <row r="689">
      <c r="A689" s="2"/>
      <c r="B689" s="2"/>
      <c r="C689" s="2"/>
      <c r="D689" s="2"/>
      <c r="E689" s="2"/>
      <c r="F689" s="2"/>
    </row>
    <row r="690">
      <c r="A690" s="2"/>
      <c r="B690" s="2"/>
      <c r="C690" s="2"/>
      <c r="D690" s="2"/>
      <c r="E690" s="2"/>
      <c r="F690" s="2"/>
    </row>
    <row r="691">
      <c r="A691" s="2"/>
      <c r="B691" s="2"/>
      <c r="C691" s="2"/>
      <c r="D691" s="2"/>
      <c r="E691" s="2"/>
      <c r="F691" s="2"/>
    </row>
    <row r="692">
      <c r="A692" s="2"/>
      <c r="B692" s="2"/>
      <c r="C692" s="2"/>
      <c r="D692" s="2"/>
      <c r="E692" s="2"/>
      <c r="F692" s="2"/>
    </row>
    <row r="693">
      <c r="A693" s="2"/>
      <c r="B693" s="2"/>
      <c r="C693" s="2"/>
      <c r="D693" s="2"/>
      <c r="E693" s="2"/>
      <c r="F693" s="2"/>
    </row>
    <row r="694">
      <c r="A694" s="2"/>
      <c r="B694" s="2"/>
      <c r="C694" s="2"/>
      <c r="D694" s="2"/>
      <c r="E694" s="2"/>
      <c r="F694" s="2"/>
    </row>
    <row r="695">
      <c r="A695" s="2"/>
      <c r="B695" s="2"/>
      <c r="C695" s="2"/>
      <c r="D695" s="2"/>
      <c r="E695" s="2"/>
      <c r="F695" s="2"/>
    </row>
    <row r="696">
      <c r="A696" s="2"/>
      <c r="B696" s="2"/>
      <c r="C696" s="2"/>
      <c r="D696" s="2"/>
      <c r="E696" s="2"/>
      <c r="F696" s="2"/>
    </row>
    <row r="697">
      <c r="A697" s="2"/>
      <c r="B697" s="2"/>
      <c r="C697" s="2"/>
      <c r="D697" s="2"/>
      <c r="E697" s="2"/>
      <c r="F697" s="2"/>
    </row>
    <row r="698">
      <c r="A698" s="2"/>
      <c r="B698" s="2"/>
      <c r="C698" s="2"/>
      <c r="D698" s="2"/>
      <c r="E698" s="2"/>
      <c r="F698" s="2"/>
    </row>
    <row r="699">
      <c r="A699" s="2"/>
      <c r="B699" s="2"/>
      <c r="C699" s="2"/>
      <c r="D699" s="2"/>
      <c r="E699" s="2"/>
      <c r="F699" s="2"/>
    </row>
    <row r="700">
      <c r="A700" s="2"/>
      <c r="B700" s="2"/>
      <c r="C700" s="2"/>
      <c r="D700" s="2"/>
      <c r="E700" s="2"/>
      <c r="F700" s="2"/>
    </row>
    <row r="701">
      <c r="A701" s="2"/>
      <c r="B701" s="2"/>
      <c r="C701" s="2"/>
      <c r="D701" s="2"/>
      <c r="E701" s="2"/>
      <c r="F701" s="2"/>
    </row>
    <row r="702">
      <c r="A702" s="2"/>
      <c r="B702" s="2"/>
      <c r="C702" s="2"/>
      <c r="D702" s="2"/>
      <c r="E702" s="2"/>
      <c r="F702" s="2"/>
    </row>
    <row r="703">
      <c r="A703" s="2"/>
      <c r="B703" s="2"/>
      <c r="C703" s="2"/>
      <c r="D703" s="2"/>
      <c r="E703" s="2"/>
      <c r="F703" s="2"/>
    </row>
    <row r="704">
      <c r="A704" s="2"/>
      <c r="B704" s="2"/>
      <c r="C704" s="2"/>
      <c r="D704" s="2"/>
      <c r="E704" s="2"/>
      <c r="F704" s="2"/>
    </row>
    <row r="705">
      <c r="A705" s="2"/>
      <c r="B705" s="2"/>
      <c r="C705" s="2"/>
      <c r="D705" s="2"/>
      <c r="E705" s="2"/>
      <c r="F705" s="2"/>
    </row>
    <row r="706">
      <c r="A706" s="2"/>
      <c r="B706" s="2"/>
      <c r="C706" s="2"/>
      <c r="D706" s="2"/>
      <c r="E706" s="2"/>
      <c r="F706" s="2"/>
    </row>
    <row r="707">
      <c r="A707" s="2"/>
      <c r="B707" s="2"/>
      <c r="C707" s="2"/>
      <c r="D707" s="2"/>
      <c r="E707" s="2"/>
      <c r="F707" s="2"/>
    </row>
    <row r="708">
      <c r="A708" s="2"/>
      <c r="B708" s="2"/>
      <c r="C708" s="2"/>
      <c r="D708" s="2"/>
      <c r="E708" s="2"/>
      <c r="F708" s="2"/>
    </row>
    <row r="709">
      <c r="A709" s="2"/>
      <c r="B709" s="2"/>
      <c r="C709" s="2"/>
      <c r="D709" s="2"/>
      <c r="E709" s="2"/>
      <c r="F709" s="2"/>
    </row>
    <row r="710">
      <c r="A710" s="2"/>
      <c r="B710" s="2"/>
      <c r="C710" s="2"/>
      <c r="D710" s="2"/>
      <c r="E710" s="2"/>
      <c r="F710" s="2"/>
    </row>
    <row r="711">
      <c r="A711" s="2"/>
      <c r="B711" s="2"/>
      <c r="C711" s="2"/>
      <c r="D711" s="2"/>
      <c r="E711" s="2"/>
      <c r="F711" s="2"/>
    </row>
    <row r="712">
      <c r="A712" s="2"/>
      <c r="B712" s="2"/>
      <c r="C712" s="2"/>
      <c r="D712" s="2"/>
      <c r="E712" s="2"/>
      <c r="F712" s="2"/>
    </row>
    <row r="713">
      <c r="A713" s="2"/>
      <c r="B713" s="2"/>
      <c r="C713" s="2"/>
      <c r="D713" s="2"/>
      <c r="E713" s="2"/>
      <c r="F713" s="2"/>
    </row>
    <row r="714">
      <c r="A714" s="2"/>
      <c r="B714" s="2"/>
      <c r="C714" s="2"/>
      <c r="D714" s="2"/>
      <c r="E714" s="2"/>
      <c r="F714" s="2"/>
    </row>
    <row r="715">
      <c r="A715" s="2"/>
      <c r="B715" s="2"/>
      <c r="C715" s="2"/>
      <c r="D715" s="2"/>
      <c r="E715" s="2"/>
      <c r="F715" s="2"/>
    </row>
    <row r="716">
      <c r="A716" s="2"/>
      <c r="B716" s="2"/>
      <c r="C716" s="2"/>
      <c r="D716" s="2"/>
      <c r="E716" s="2"/>
      <c r="F716" s="2"/>
    </row>
    <row r="717">
      <c r="A717" s="2"/>
      <c r="B717" s="2"/>
      <c r="C717" s="2"/>
      <c r="D717" s="2"/>
      <c r="E717" s="2"/>
      <c r="F717" s="2"/>
    </row>
    <row r="718">
      <c r="A718" s="2"/>
      <c r="B718" s="2"/>
      <c r="C718" s="2"/>
      <c r="D718" s="2"/>
      <c r="E718" s="2"/>
      <c r="F718" s="2"/>
    </row>
    <row r="719">
      <c r="A719" s="2"/>
      <c r="B719" s="2"/>
      <c r="C719" s="2"/>
      <c r="D719" s="2"/>
      <c r="E719" s="2"/>
      <c r="F719" s="2"/>
    </row>
    <row r="720">
      <c r="A720" s="2"/>
      <c r="B720" s="2"/>
      <c r="C720" s="2"/>
      <c r="D720" s="2"/>
      <c r="E720" s="2"/>
      <c r="F720" s="2"/>
    </row>
    <row r="721">
      <c r="A721" s="2"/>
      <c r="B721" s="2"/>
      <c r="C721" s="2"/>
      <c r="D721" s="2"/>
      <c r="E721" s="2"/>
      <c r="F721" s="2"/>
    </row>
    <row r="722">
      <c r="A722" s="2"/>
      <c r="B722" s="2"/>
      <c r="C722" s="2"/>
      <c r="D722" s="2"/>
      <c r="E722" s="2"/>
      <c r="F722" s="2"/>
    </row>
    <row r="723">
      <c r="A723" s="2"/>
      <c r="B723" s="2"/>
      <c r="C723" s="2"/>
      <c r="D723" s="2"/>
      <c r="E723" s="2"/>
      <c r="F723" s="2"/>
    </row>
    <row r="724">
      <c r="A724" s="2"/>
      <c r="B724" s="2"/>
      <c r="C724" s="2"/>
      <c r="D724" s="2"/>
      <c r="E724" s="2"/>
      <c r="F724" s="2"/>
    </row>
    <row r="725">
      <c r="A725" s="2"/>
      <c r="B725" s="2"/>
      <c r="C725" s="2"/>
      <c r="D725" s="2"/>
      <c r="E725" s="2"/>
      <c r="F725" s="2"/>
    </row>
    <row r="726">
      <c r="A726" s="2"/>
      <c r="B726" s="2"/>
      <c r="C726" s="2"/>
      <c r="D726" s="2"/>
      <c r="E726" s="2"/>
      <c r="F726" s="2"/>
    </row>
    <row r="727">
      <c r="A727" s="2"/>
      <c r="B727" s="2"/>
      <c r="C727" s="2"/>
      <c r="D727" s="2"/>
      <c r="E727" s="2"/>
      <c r="F727" s="2"/>
    </row>
    <row r="728">
      <c r="A728" s="2"/>
      <c r="B728" s="2"/>
      <c r="C728" s="2"/>
      <c r="D728" s="2"/>
      <c r="E728" s="2"/>
      <c r="F728" s="2"/>
    </row>
    <row r="729">
      <c r="A729" s="2"/>
      <c r="B729" s="2"/>
      <c r="C729" s="2"/>
      <c r="D729" s="2"/>
      <c r="E729" s="2"/>
      <c r="F729" s="2"/>
    </row>
    <row r="730">
      <c r="A730" s="2"/>
      <c r="B730" s="2"/>
      <c r="C730" s="2"/>
      <c r="D730" s="2"/>
      <c r="E730" s="2"/>
      <c r="F730" s="2"/>
    </row>
    <row r="731">
      <c r="A731" s="2"/>
      <c r="B731" s="2"/>
      <c r="C731" s="2"/>
      <c r="D731" s="2"/>
      <c r="E731" s="2"/>
      <c r="F731" s="2"/>
    </row>
    <row r="732">
      <c r="A732" s="2"/>
      <c r="B732" s="2"/>
      <c r="C732" s="2"/>
      <c r="D732" s="2"/>
      <c r="E732" s="2"/>
      <c r="F732" s="2"/>
    </row>
    <row r="733">
      <c r="A733" s="2"/>
      <c r="B733" s="2"/>
      <c r="C733" s="2"/>
      <c r="D733" s="2"/>
      <c r="E733" s="2"/>
      <c r="F733" s="2"/>
    </row>
    <row r="734">
      <c r="A734" s="2"/>
      <c r="B734" s="2"/>
      <c r="C734" s="2"/>
      <c r="D734" s="2"/>
      <c r="E734" s="2"/>
      <c r="F734" s="2"/>
    </row>
    <row r="735">
      <c r="A735" s="2"/>
      <c r="B735" s="2"/>
      <c r="C735" s="2"/>
      <c r="D735" s="2"/>
      <c r="E735" s="2"/>
      <c r="F735" s="2"/>
    </row>
    <row r="736">
      <c r="A736" s="2"/>
      <c r="B736" s="2"/>
      <c r="C736" s="2"/>
      <c r="D736" s="2"/>
      <c r="E736" s="2"/>
      <c r="F736" s="2"/>
    </row>
    <row r="737">
      <c r="A737" s="2"/>
      <c r="B737" s="2"/>
      <c r="C737" s="2"/>
      <c r="D737" s="2"/>
      <c r="E737" s="2"/>
      <c r="F737" s="2"/>
    </row>
    <row r="738">
      <c r="A738" s="2"/>
      <c r="B738" s="2"/>
      <c r="C738" s="2"/>
      <c r="D738" s="2"/>
      <c r="E738" s="2"/>
      <c r="F738" s="2"/>
    </row>
    <row r="739">
      <c r="A739" s="2"/>
      <c r="B739" s="2"/>
      <c r="C739" s="2"/>
      <c r="D739" s="2"/>
      <c r="E739" s="2"/>
      <c r="F739" s="2"/>
    </row>
    <row r="740">
      <c r="A740" s="2"/>
      <c r="B740" s="2"/>
      <c r="C740" s="2"/>
      <c r="D740" s="2"/>
      <c r="E740" s="2"/>
      <c r="F740" s="2"/>
    </row>
    <row r="741">
      <c r="A741" s="2"/>
      <c r="B741" s="2"/>
      <c r="C741" s="2"/>
      <c r="D741" s="2"/>
      <c r="E741" s="2"/>
      <c r="F741" s="2"/>
    </row>
    <row r="742">
      <c r="A742" s="2"/>
      <c r="B742" s="2"/>
      <c r="C742" s="2"/>
      <c r="D742" s="2"/>
      <c r="E742" s="2"/>
      <c r="F742" s="2"/>
    </row>
    <row r="743">
      <c r="A743" s="2"/>
      <c r="B743" s="2"/>
      <c r="C743" s="2"/>
      <c r="D743" s="2"/>
      <c r="E743" s="2"/>
      <c r="F743" s="2"/>
    </row>
    <row r="744">
      <c r="A744" s="2"/>
      <c r="B744" s="2"/>
      <c r="C744" s="2"/>
      <c r="D744" s="2"/>
      <c r="E744" s="2"/>
      <c r="F744" s="2"/>
    </row>
    <row r="745">
      <c r="A745" s="2"/>
      <c r="B745" s="2"/>
      <c r="C745" s="2"/>
      <c r="D745" s="2"/>
      <c r="E745" s="2"/>
      <c r="F745" s="2"/>
    </row>
    <row r="746">
      <c r="A746" s="2"/>
      <c r="B746" s="2"/>
      <c r="C746" s="2"/>
      <c r="D746" s="2"/>
      <c r="E746" s="2"/>
      <c r="F746" s="2"/>
    </row>
    <row r="747">
      <c r="A747" s="2"/>
      <c r="B747" s="2"/>
      <c r="C747" s="2"/>
      <c r="D747" s="2"/>
      <c r="E747" s="2"/>
      <c r="F747" s="2"/>
    </row>
    <row r="748">
      <c r="A748" s="2"/>
      <c r="B748" s="2"/>
      <c r="C748" s="2"/>
      <c r="D748" s="2"/>
      <c r="E748" s="2"/>
      <c r="F748" s="2"/>
    </row>
    <row r="749">
      <c r="A749" s="2"/>
      <c r="B749" s="2"/>
      <c r="C749" s="2"/>
      <c r="D749" s="2"/>
      <c r="E749" s="2"/>
      <c r="F749" s="2"/>
    </row>
    <row r="750">
      <c r="A750" s="2"/>
      <c r="B750" s="2"/>
      <c r="C750" s="2"/>
      <c r="D750" s="2"/>
      <c r="E750" s="2"/>
      <c r="F750" s="2"/>
    </row>
    <row r="751">
      <c r="A751" s="2"/>
      <c r="B751" s="2"/>
      <c r="C751" s="2"/>
      <c r="D751" s="2"/>
      <c r="E751" s="2"/>
      <c r="F751" s="2"/>
    </row>
    <row r="752">
      <c r="A752" s="2"/>
      <c r="B752" s="2"/>
      <c r="C752" s="2"/>
      <c r="D752" s="2"/>
      <c r="E752" s="2"/>
      <c r="F752" s="2"/>
    </row>
    <row r="753">
      <c r="A753" s="2"/>
      <c r="B753" s="2"/>
      <c r="C753" s="2"/>
      <c r="D753" s="2"/>
      <c r="E753" s="2"/>
      <c r="F753" s="2"/>
    </row>
    <row r="754">
      <c r="A754" s="2"/>
      <c r="B754" s="2"/>
      <c r="C754" s="2"/>
      <c r="D754" s="2"/>
      <c r="E754" s="2"/>
      <c r="F754" s="2"/>
    </row>
    <row r="755">
      <c r="A755" s="2"/>
      <c r="B755" s="2"/>
      <c r="C755" s="2"/>
      <c r="D755" s="2"/>
      <c r="E755" s="2"/>
      <c r="F755" s="2"/>
    </row>
    <row r="756">
      <c r="A756" s="2"/>
      <c r="B756" s="2"/>
      <c r="C756" s="2"/>
      <c r="D756" s="2"/>
      <c r="E756" s="2"/>
      <c r="F756" s="2"/>
    </row>
    <row r="757">
      <c r="A757" s="2"/>
      <c r="B757" s="2"/>
      <c r="C757" s="2"/>
      <c r="D757" s="2"/>
      <c r="E757" s="2"/>
      <c r="F757" s="2"/>
    </row>
    <row r="758">
      <c r="A758" s="2"/>
      <c r="B758" s="2"/>
      <c r="C758" s="2"/>
      <c r="D758" s="2"/>
      <c r="E758" s="2"/>
      <c r="F758" s="2"/>
    </row>
    <row r="759">
      <c r="A759" s="2"/>
      <c r="B759" s="2"/>
      <c r="C759" s="2"/>
      <c r="D759" s="2"/>
      <c r="E759" s="2"/>
      <c r="F759" s="2"/>
    </row>
    <row r="760">
      <c r="A760" s="2"/>
      <c r="B760" s="2"/>
      <c r="C760" s="2"/>
      <c r="D760" s="2"/>
      <c r="E760" s="2"/>
      <c r="F760" s="2"/>
    </row>
    <row r="761">
      <c r="A761" s="2"/>
      <c r="B761" s="2"/>
      <c r="C761" s="2"/>
      <c r="D761" s="2"/>
      <c r="E761" s="2"/>
      <c r="F761" s="2"/>
    </row>
    <row r="762">
      <c r="A762" s="2"/>
      <c r="B762" s="2"/>
      <c r="C762" s="2"/>
      <c r="D762" s="2"/>
      <c r="E762" s="2"/>
      <c r="F762" s="2"/>
    </row>
    <row r="763">
      <c r="A763" s="2"/>
      <c r="B763" s="2"/>
      <c r="C763" s="2"/>
      <c r="D763" s="2"/>
      <c r="E763" s="2"/>
      <c r="F763" s="2"/>
    </row>
    <row r="764">
      <c r="A764" s="2"/>
      <c r="B764" s="2"/>
      <c r="C764" s="2"/>
      <c r="D764" s="2"/>
      <c r="E764" s="2"/>
      <c r="F764" s="2"/>
    </row>
    <row r="765">
      <c r="A765" s="2"/>
      <c r="B765" s="2"/>
      <c r="C765" s="2"/>
      <c r="D765" s="2"/>
      <c r="E765" s="2"/>
      <c r="F765" s="2"/>
    </row>
    <row r="766">
      <c r="A766" s="2"/>
      <c r="B766" s="2"/>
      <c r="C766" s="2"/>
      <c r="D766" s="2"/>
      <c r="E766" s="2"/>
      <c r="F766" s="2"/>
    </row>
    <row r="767">
      <c r="A767" s="2"/>
      <c r="B767" s="2"/>
      <c r="C767" s="2"/>
      <c r="D767" s="2"/>
      <c r="E767" s="2"/>
      <c r="F767" s="2"/>
    </row>
    <row r="768">
      <c r="A768" s="2"/>
      <c r="B768" s="2"/>
      <c r="C768" s="2"/>
      <c r="D768" s="2"/>
      <c r="E768" s="2"/>
      <c r="F768" s="2"/>
    </row>
    <row r="769">
      <c r="A769" s="2"/>
      <c r="B769" s="2"/>
      <c r="C769" s="2"/>
      <c r="D769" s="2"/>
      <c r="E769" s="2"/>
      <c r="F769" s="2"/>
    </row>
    <row r="770">
      <c r="A770" s="2"/>
      <c r="B770" s="2"/>
      <c r="C770" s="2"/>
      <c r="D770" s="2"/>
      <c r="E770" s="2"/>
      <c r="F770" s="2"/>
    </row>
    <row r="771">
      <c r="A771" s="2"/>
      <c r="B771" s="2"/>
      <c r="C771" s="2"/>
      <c r="D771" s="2"/>
      <c r="E771" s="2"/>
      <c r="F771" s="2"/>
    </row>
    <row r="772">
      <c r="A772" s="2"/>
      <c r="B772" s="2"/>
      <c r="C772" s="2"/>
      <c r="D772" s="2"/>
      <c r="E772" s="2"/>
      <c r="F772" s="2"/>
    </row>
    <row r="773">
      <c r="A773" s="2"/>
      <c r="B773" s="2"/>
      <c r="C773" s="2"/>
      <c r="D773" s="2"/>
      <c r="E773" s="2"/>
      <c r="F773" s="2"/>
    </row>
    <row r="774">
      <c r="A774" s="2"/>
      <c r="B774" s="2"/>
      <c r="C774" s="2"/>
      <c r="D774" s="2"/>
      <c r="E774" s="2"/>
      <c r="F774" s="2"/>
    </row>
    <row r="775">
      <c r="A775" s="2"/>
      <c r="B775" s="2"/>
      <c r="C775" s="2"/>
      <c r="D775" s="2"/>
      <c r="E775" s="2"/>
      <c r="F775" s="2"/>
    </row>
    <row r="776">
      <c r="A776" s="2"/>
      <c r="B776" s="2"/>
      <c r="C776" s="2"/>
      <c r="D776" s="2"/>
      <c r="E776" s="2"/>
      <c r="F776" s="2"/>
    </row>
    <row r="777">
      <c r="A777" s="2"/>
      <c r="B777" s="2"/>
      <c r="C777" s="2"/>
      <c r="D777" s="2"/>
      <c r="E777" s="2"/>
      <c r="F777" s="2"/>
    </row>
    <row r="778">
      <c r="A778" s="2"/>
      <c r="B778" s="2"/>
      <c r="C778" s="2"/>
      <c r="D778" s="2"/>
      <c r="E778" s="2"/>
      <c r="F778" s="2"/>
    </row>
    <row r="779">
      <c r="A779" s="2"/>
      <c r="B779" s="2"/>
      <c r="C779" s="2"/>
      <c r="D779" s="2"/>
      <c r="E779" s="2"/>
      <c r="F779" s="2"/>
    </row>
    <row r="780">
      <c r="A780" s="2"/>
      <c r="B780" s="2"/>
      <c r="C780" s="2"/>
      <c r="D780" s="2"/>
      <c r="E780" s="2"/>
      <c r="F780" s="2"/>
    </row>
    <row r="781">
      <c r="A781" s="2"/>
      <c r="B781" s="2"/>
      <c r="C781" s="2"/>
      <c r="D781" s="2"/>
      <c r="E781" s="2"/>
      <c r="F781" s="2"/>
    </row>
    <row r="782">
      <c r="A782" s="2"/>
      <c r="B782" s="2"/>
      <c r="C782" s="2"/>
      <c r="D782" s="2"/>
      <c r="E782" s="2"/>
      <c r="F782" s="2"/>
    </row>
    <row r="783">
      <c r="A783" s="2"/>
      <c r="B783" s="2"/>
      <c r="C783" s="2"/>
      <c r="D783" s="2"/>
      <c r="E783" s="2"/>
      <c r="F783" s="2"/>
    </row>
    <row r="784">
      <c r="A784" s="2"/>
      <c r="B784" s="2"/>
      <c r="C784" s="2"/>
      <c r="D784" s="2"/>
      <c r="E784" s="2"/>
      <c r="F784" s="2"/>
    </row>
    <row r="785">
      <c r="A785" s="2"/>
      <c r="B785" s="2"/>
      <c r="C785" s="2"/>
      <c r="D785" s="2"/>
      <c r="E785" s="2"/>
      <c r="F785" s="2"/>
    </row>
    <row r="786">
      <c r="A786" s="2"/>
      <c r="B786" s="2"/>
      <c r="C786" s="2"/>
      <c r="D786" s="2"/>
      <c r="E786" s="2"/>
      <c r="F786" s="2"/>
    </row>
    <row r="787">
      <c r="A787" s="2"/>
      <c r="B787" s="2"/>
      <c r="C787" s="2"/>
      <c r="D787" s="2"/>
      <c r="E787" s="2"/>
      <c r="F787" s="2"/>
    </row>
    <row r="788">
      <c r="A788" s="2"/>
      <c r="B788" s="2"/>
      <c r="C788" s="2"/>
      <c r="D788" s="2"/>
      <c r="E788" s="2"/>
      <c r="F788" s="2"/>
    </row>
    <row r="789">
      <c r="A789" s="2"/>
      <c r="B789" s="2"/>
      <c r="C789" s="2"/>
      <c r="D789" s="2"/>
      <c r="E789" s="2"/>
      <c r="F789" s="2"/>
    </row>
    <row r="790">
      <c r="A790" s="2"/>
      <c r="B790" s="2"/>
      <c r="C790" s="2"/>
      <c r="D790" s="2"/>
      <c r="E790" s="2"/>
      <c r="F790" s="2"/>
    </row>
    <row r="791">
      <c r="A791" s="2"/>
      <c r="B791" s="2"/>
      <c r="C791" s="2"/>
      <c r="D791" s="2"/>
      <c r="E791" s="2"/>
      <c r="F791" s="2"/>
    </row>
    <row r="792">
      <c r="A792" s="2"/>
      <c r="B792" s="2"/>
      <c r="C792" s="2"/>
      <c r="D792" s="2"/>
      <c r="E792" s="2"/>
      <c r="F792" s="2"/>
    </row>
    <row r="793">
      <c r="A793" s="2"/>
      <c r="B793" s="2"/>
      <c r="C793" s="2"/>
      <c r="D793" s="2"/>
      <c r="E793" s="2"/>
      <c r="F793" s="2"/>
    </row>
    <row r="794">
      <c r="A794" s="2"/>
      <c r="B794" s="2"/>
      <c r="C794" s="2"/>
      <c r="D794" s="2"/>
      <c r="E794" s="2"/>
      <c r="F794" s="2"/>
    </row>
    <row r="795">
      <c r="A795" s="2"/>
      <c r="B795" s="2"/>
      <c r="C795" s="2"/>
      <c r="D795" s="2"/>
      <c r="E795" s="2"/>
      <c r="F795" s="2"/>
    </row>
    <row r="796">
      <c r="A796" s="2"/>
      <c r="B796" s="2"/>
      <c r="C796" s="2"/>
      <c r="D796" s="2"/>
      <c r="E796" s="2"/>
      <c r="F796" s="2"/>
    </row>
    <row r="797">
      <c r="A797" s="2"/>
      <c r="B797" s="2"/>
      <c r="C797" s="2"/>
      <c r="D797" s="2"/>
      <c r="E797" s="2"/>
      <c r="F797" s="2"/>
    </row>
    <row r="798">
      <c r="A798" s="2"/>
      <c r="B798" s="2"/>
      <c r="C798" s="2"/>
      <c r="D798" s="2"/>
      <c r="E798" s="2"/>
      <c r="F798" s="2"/>
    </row>
    <row r="799">
      <c r="A799" s="2"/>
      <c r="B799" s="2"/>
      <c r="C799" s="2"/>
      <c r="D799" s="2"/>
      <c r="E799" s="2"/>
      <c r="F799" s="2"/>
    </row>
    <row r="800">
      <c r="A800" s="2"/>
      <c r="B800" s="2"/>
      <c r="C800" s="2"/>
      <c r="D800" s="2"/>
      <c r="E800" s="2"/>
      <c r="F800" s="2"/>
    </row>
    <row r="801">
      <c r="A801" s="2"/>
      <c r="B801" s="2"/>
      <c r="C801" s="2"/>
      <c r="D801" s="2"/>
      <c r="E801" s="2"/>
      <c r="F801" s="2"/>
    </row>
    <row r="802">
      <c r="A802" s="2"/>
      <c r="B802" s="2"/>
      <c r="C802" s="2"/>
      <c r="D802" s="2"/>
      <c r="E802" s="2"/>
      <c r="F802" s="2"/>
    </row>
    <row r="803">
      <c r="A803" s="2"/>
      <c r="B803" s="2"/>
      <c r="C803" s="2"/>
      <c r="D803" s="2"/>
      <c r="E803" s="2"/>
      <c r="F803" s="2"/>
    </row>
    <row r="804">
      <c r="A804" s="2"/>
      <c r="B804" s="2"/>
      <c r="C804" s="2"/>
      <c r="D804" s="2"/>
      <c r="E804" s="2"/>
      <c r="F804" s="2"/>
    </row>
    <row r="805">
      <c r="A805" s="2"/>
      <c r="B805" s="2"/>
      <c r="C805" s="2"/>
      <c r="D805" s="2"/>
      <c r="E805" s="2"/>
      <c r="F805" s="2"/>
    </row>
    <row r="806">
      <c r="A806" s="2"/>
      <c r="B806" s="2"/>
      <c r="C806" s="2"/>
      <c r="D806" s="2"/>
      <c r="E806" s="2"/>
      <c r="F806" s="2"/>
    </row>
    <row r="807">
      <c r="A807" s="2"/>
      <c r="B807" s="2"/>
      <c r="C807" s="2"/>
      <c r="D807" s="2"/>
      <c r="E807" s="2"/>
      <c r="F807" s="2"/>
    </row>
    <row r="808">
      <c r="A808" s="2"/>
      <c r="B808" s="2"/>
      <c r="C808" s="2"/>
      <c r="D808" s="2"/>
      <c r="E808" s="2"/>
      <c r="F808" s="2"/>
    </row>
    <row r="809">
      <c r="A809" s="2"/>
      <c r="B809" s="2"/>
      <c r="C809" s="2"/>
      <c r="D809" s="2"/>
      <c r="E809" s="2"/>
      <c r="F809" s="2"/>
    </row>
    <row r="810">
      <c r="A810" s="2"/>
      <c r="B810" s="2"/>
      <c r="C810" s="2"/>
      <c r="D810" s="2"/>
      <c r="E810" s="2"/>
      <c r="F810" s="2"/>
    </row>
    <row r="811">
      <c r="A811" s="2"/>
      <c r="B811" s="2"/>
      <c r="C811" s="2"/>
      <c r="D811" s="2"/>
      <c r="E811" s="2"/>
      <c r="F811" s="2"/>
    </row>
    <row r="812">
      <c r="A812" s="2"/>
      <c r="B812" s="2"/>
      <c r="C812" s="2"/>
      <c r="D812" s="2"/>
      <c r="E812" s="2"/>
      <c r="F812" s="2"/>
    </row>
    <row r="813">
      <c r="A813" s="2"/>
      <c r="B813" s="2"/>
      <c r="C813" s="2"/>
      <c r="D813" s="2"/>
      <c r="E813" s="2"/>
      <c r="F813" s="2"/>
    </row>
    <row r="814">
      <c r="A814" s="2"/>
      <c r="B814" s="2"/>
      <c r="C814" s="2"/>
      <c r="D814" s="2"/>
      <c r="E814" s="2"/>
      <c r="F814" s="2"/>
    </row>
    <row r="815">
      <c r="A815" s="2"/>
      <c r="B815" s="2"/>
      <c r="C815" s="2"/>
      <c r="D815" s="2"/>
      <c r="E815" s="2"/>
      <c r="F815" s="2"/>
    </row>
    <row r="816">
      <c r="A816" s="2"/>
      <c r="B816" s="2"/>
      <c r="C816" s="2"/>
      <c r="D816" s="2"/>
      <c r="E816" s="2"/>
      <c r="F816" s="2"/>
    </row>
    <row r="817">
      <c r="A817" s="2"/>
      <c r="B817" s="2"/>
      <c r="C817" s="2"/>
      <c r="D817" s="2"/>
      <c r="E817" s="2"/>
      <c r="F817" s="2"/>
    </row>
    <row r="818">
      <c r="A818" s="2"/>
      <c r="B818" s="2"/>
      <c r="C818" s="2"/>
      <c r="D818" s="2"/>
      <c r="E818" s="2"/>
      <c r="F818" s="2"/>
    </row>
    <row r="819">
      <c r="A819" s="2"/>
      <c r="B819" s="2"/>
      <c r="C819" s="2"/>
      <c r="D819" s="2"/>
      <c r="E819" s="2"/>
      <c r="F819" s="2"/>
    </row>
    <row r="820">
      <c r="A820" s="2"/>
      <c r="B820" s="2"/>
      <c r="C820" s="2"/>
      <c r="D820" s="2"/>
      <c r="E820" s="2"/>
      <c r="F820" s="2"/>
    </row>
    <row r="821">
      <c r="A821" s="2"/>
      <c r="B821" s="2"/>
      <c r="C821" s="2"/>
      <c r="D821" s="2"/>
      <c r="E821" s="2"/>
      <c r="F821" s="2"/>
    </row>
    <row r="822">
      <c r="A822" s="2"/>
      <c r="B822" s="2"/>
      <c r="C822" s="2"/>
      <c r="D822" s="2"/>
      <c r="E822" s="2"/>
      <c r="F822" s="2"/>
    </row>
    <row r="823">
      <c r="A823" s="2"/>
      <c r="B823" s="2"/>
      <c r="C823" s="2"/>
      <c r="D823" s="2"/>
      <c r="E823" s="2"/>
      <c r="F823" s="2"/>
    </row>
    <row r="824">
      <c r="A824" s="2"/>
      <c r="B824" s="2"/>
      <c r="C824" s="2"/>
      <c r="D824" s="2"/>
      <c r="E824" s="2"/>
      <c r="F824" s="2"/>
    </row>
    <row r="825">
      <c r="A825" s="2"/>
      <c r="B825" s="2"/>
      <c r="C825" s="2"/>
      <c r="D825" s="2"/>
      <c r="E825" s="2"/>
      <c r="F825" s="2"/>
    </row>
    <row r="826">
      <c r="A826" s="2"/>
      <c r="B826" s="2"/>
      <c r="C826" s="2"/>
      <c r="D826" s="2"/>
      <c r="E826" s="2"/>
      <c r="F826" s="2"/>
    </row>
    <row r="827">
      <c r="A827" s="2"/>
      <c r="B827" s="2"/>
      <c r="C827" s="2"/>
      <c r="D827" s="2"/>
      <c r="E827" s="2"/>
      <c r="F827" s="2"/>
    </row>
    <row r="828">
      <c r="A828" s="2"/>
      <c r="B828" s="2"/>
      <c r="C828" s="2"/>
      <c r="D828" s="2"/>
      <c r="E828" s="2"/>
      <c r="F828" s="2"/>
    </row>
    <row r="829">
      <c r="A829" s="2"/>
      <c r="B829" s="2"/>
      <c r="C829" s="2"/>
      <c r="D829" s="2"/>
      <c r="E829" s="2"/>
      <c r="F829" s="2"/>
    </row>
    <row r="830">
      <c r="A830" s="2"/>
      <c r="B830" s="2"/>
      <c r="C830" s="2"/>
      <c r="D830" s="2"/>
      <c r="E830" s="2"/>
      <c r="F830" s="2"/>
    </row>
    <row r="831">
      <c r="A831" s="2"/>
      <c r="B831" s="2"/>
      <c r="C831" s="2"/>
      <c r="D831" s="2"/>
      <c r="E831" s="2"/>
      <c r="F831" s="2"/>
    </row>
    <row r="832">
      <c r="A832" s="2"/>
      <c r="B832" s="2"/>
      <c r="C832" s="2"/>
      <c r="D832" s="2"/>
      <c r="E832" s="2"/>
      <c r="F832" s="2"/>
    </row>
    <row r="833">
      <c r="A833" s="2"/>
      <c r="B833" s="2"/>
      <c r="C833" s="2"/>
      <c r="D833" s="2"/>
      <c r="E833" s="2"/>
      <c r="F833" s="2"/>
    </row>
    <row r="834">
      <c r="A834" s="2"/>
      <c r="B834" s="2"/>
      <c r="C834" s="2"/>
      <c r="D834" s="2"/>
      <c r="E834" s="2"/>
      <c r="F834" s="2"/>
    </row>
    <row r="835">
      <c r="A835" s="2"/>
      <c r="B835" s="2"/>
      <c r="C835" s="2"/>
      <c r="D835" s="2"/>
      <c r="E835" s="2"/>
      <c r="F835" s="2"/>
    </row>
    <row r="836">
      <c r="A836" s="2"/>
      <c r="B836" s="2"/>
      <c r="C836" s="2"/>
      <c r="D836" s="2"/>
      <c r="E836" s="2"/>
      <c r="F836" s="2"/>
    </row>
    <row r="837">
      <c r="A837" s="2"/>
      <c r="B837" s="2"/>
      <c r="C837" s="2"/>
      <c r="D837" s="2"/>
      <c r="E837" s="2"/>
      <c r="F837" s="2"/>
    </row>
    <row r="838">
      <c r="A838" s="2"/>
      <c r="B838" s="2"/>
      <c r="C838" s="2"/>
      <c r="D838" s="2"/>
      <c r="E838" s="2"/>
      <c r="F838" s="2"/>
    </row>
    <row r="839">
      <c r="A839" s="2"/>
      <c r="B839" s="2"/>
      <c r="C839" s="2"/>
      <c r="D839" s="2"/>
      <c r="E839" s="2"/>
      <c r="F839" s="2"/>
    </row>
    <row r="840">
      <c r="A840" s="2"/>
      <c r="B840" s="2"/>
      <c r="C840" s="2"/>
      <c r="D840" s="2"/>
      <c r="E840" s="2"/>
      <c r="F840" s="2"/>
    </row>
    <row r="841">
      <c r="A841" s="2"/>
      <c r="B841" s="2"/>
      <c r="C841" s="2"/>
      <c r="D841" s="2"/>
      <c r="E841" s="2"/>
      <c r="F841" s="2"/>
    </row>
    <row r="842">
      <c r="A842" s="2"/>
      <c r="B842" s="2"/>
      <c r="C842" s="2"/>
      <c r="D842" s="2"/>
      <c r="E842" s="2"/>
      <c r="F842" s="2"/>
    </row>
    <row r="843">
      <c r="A843" s="2"/>
      <c r="B843" s="2"/>
      <c r="C843" s="2"/>
      <c r="D843" s="2"/>
      <c r="E843" s="2"/>
      <c r="F843" s="2"/>
    </row>
    <row r="844">
      <c r="A844" s="2"/>
      <c r="B844" s="2"/>
      <c r="C844" s="2"/>
      <c r="D844" s="2"/>
      <c r="E844" s="2"/>
      <c r="F844" s="2"/>
    </row>
    <row r="845">
      <c r="A845" s="2"/>
      <c r="B845" s="2"/>
      <c r="C845" s="2"/>
      <c r="D845" s="2"/>
      <c r="E845" s="2"/>
      <c r="F845" s="2"/>
    </row>
    <row r="846">
      <c r="A846" s="2"/>
      <c r="B846" s="2"/>
      <c r="C846" s="2"/>
      <c r="D846" s="2"/>
      <c r="E846" s="2"/>
      <c r="F846" s="2"/>
    </row>
    <row r="847">
      <c r="A847" s="2"/>
      <c r="B847" s="2"/>
      <c r="C847" s="2"/>
      <c r="D847" s="2"/>
      <c r="E847" s="2"/>
      <c r="F847" s="2"/>
    </row>
    <row r="848">
      <c r="A848" s="2"/>
      <c r="B848" s="2"/>
      <c r="C848" s="2"/>
      <c r="D848" s="2"/>
      <c r="E848" s="2"/>
      <c r="F848" s="2"/>
    </row>
    <row r="849">
      <c r="A849" s="2"/>
      <c r="B849" s="2"/>
      <c r="C849" s="2"/>
      <c r="D849" s="2"/>
      <c r="E849" s="2"/>
      <c r="F849" s="2"/>
    </row>
    <row r="850">
      <c r="A850" s="2"/>
      <c r="B850" s="2"/>
      <c r="C850" s="2"/>
      <c r="D850" s="2"/>
      <c r="E850" s="2"/>
      <c r="F850" s="2"/>
    </row>
    <row r="851">
      <c r="A851" s="2"/>
      <c r="B851" s="2"/>
      <c r="C851" s="2"/>
      <c r="D851" s="2"/>
      <c r="E851" s="2"/>
      <c r="F851" s="2"/>
    </row>
    <row r="852">
      <c r="A852" s="2"/>
      <c r="B852" s="2"/>
      <c r="C852" s="2"/>
      <c r="D852" s="2"/>
      <c r="E852" s="2"/>
      <c r="F852" s="2"/>
    </row>
    <row r="853">
      <c r="A853" s="2"/>
      <c r="B853" s="2"/>
      <c r="C853" s="2"/>
      <c r="D853" s="2"/>
      <c r="E853" s="2"/>
      <c r="F853" s="2"/>
    </row>
    <row r="854">
      <c r="A854" s="2"/>
      <c r="B854" s="2"/>
      <c r="C854" s="2"/>
      <c r="D854" s="2"/>
      <c r="E854" s="2"/>
      <c r="F854" s="2"/>
    </row>
    <row r="855">
      <c r="A855" s="2"/>
      <c r="B855" s="2"/>
      <c r="C855" s="2"/>
      <c r="D855" s="2"/>
      <c r="E855" s="2"/>
      <c r="F855" s="2"/>
    </row>
    <row r="856">
      <c r="A856" s="2"/>
      <c r="B856" s="2"/>
      <c r="C856" s="2"/>
      <c r="D856" s="2"/>
      <c r="E856" s="2"/>
      <c r="F856" s="2"/>
    </row>
    <row r="857">
      <c r="A857" s="2"/>
      <c r="B857" s="2"/>
      <c r="C857" s="2"/>
      <c r="D857" s="2"/>
      <c r="E857" s="2"/>
      <c r="F857" s="2"/>
    </row>
    <row r="858">
      <c r="A858" s="2"/>
      <c r="B858" s="2"/>
      <c r="C858" s="2"/>
      <c r="D858" s="2"/>
      <c r="E858" s="2"/>
      <c r="F858" s="2"/>
    </row>
    <row r="859">
      <c r="A859" s="2"/>
      <c r="B859" s="2"/>
      <c r="C859" s="2"/>
      <c r="D859" s="2"/>
      <c r="E859" s="2"/>
      <c r="F859" s="2"/>
    </row>
    <row r="860">
      <c r="A860" s="2"/>
      <c r="B860" s="2"/>
      <c r="C860" s="2"/>
      <c r="D860" s="2"/>
      <c r="E860" s="2"/>
      <c r="F860" s="2"/>
    </row>
    <row r="861">
      <c r="A861" s="2"/>
      <c r="B861" s="2"/>
      <c r="C861" s="2"/>
      <c r="D861" s="2"/>
      <c r="E861" s="2"/>
      <c r="F861" s="2"/>
    </row>
    <row r="862">
      <c r="A862" s="2"/>
      <c r="B862" s="2"/>
      <c r="C862" s="2"/>
      <c r="D862" s="2"/>
      <c r="E862" s="2"/>
      <c r="F862" s="2"/>
    </row>
    <row r="863">
      <c r="A863" s="2"/>
      <c r="B863" s="2"/>
      <c r="C863" s="2"/>
      <c r="D863" s="2"/>
      <c r="E863" s="2"/>
      <c r="F863" s="2"/>
    </row>
    <row r="864">
      <c r="A864" s="2"/>
      <c r="B864" s="2"/>
      <c r="C864" s="2"/>
      <c r="D864" s="2"/>
      <c r="E864" s="2"/>
      <c r="F864" s="2"/>
    </row>
    <row r="865">
      <c r="A865" s="2"/>
      <c r="B865" s="2"/>
      <c r="C865" s="2"/>
      <c r="D865" s="2"/>
      <c r="E865" s="2"/>
      <c r="F865" s="2"/>
    </row>
    <row r="866">
      <c r="A866" s="2"/>
      <c r="B866" s="2"/>
      <c r="C866" s="2"/>
      <c r="D866" s="2"/>
      <c r="E866" s="2"/>
      <c r="F866" s="2"/>
    </row>
    <row r="867">
      <c r="A867" s="2"/>
      <c r="B867" s="2"/>
      <c r="C867" s="2"/>
      <c r="D867" s="2"/>
      <c r="E867" s="2"/>
      <c r="F867" s="2"/>
    </row>
    <row r="868">
      <c r="A868" s="2"/>
      <c r="B868" s="2"/>
      <c r="C868" s="2"/>
      <c r="D868" s="2"/>
      <c r="E868" s="2"/>
      <c r="F868" s="2"/>
    </row>
    <row r="869">
      <c r="A869" s="2"/>
      <c r="B869" s="2"/>
      <c r="C869" s="2"/>
      <c r="D869" s="2"/>
      <c r="E869" s="2"/>
      <c r="F869" s="2"/>
    </row>
    <row r="870">
      <c r="A870" s="2"/>
      <c r="B870" s="2"/>
      <c r="C870" s="2"/>
      <c r="D870" s="2"/>
      <c r="E870" s="2"/>
      <c r="F870" s="2"/>
    </row>
    <row r="871">
      <c r="A871" s="2"/>
      <c r="B871" s="2"/>
      <c r="C871" s="2"/>
      <c r="D871" s="2"/>
      <c r="E871" s="2"/>
      <c r="F871" s="2"/>
    </row>
    <row r="872">
      <c r="A872" s="2"/>
      <c r="B872" s="2"/>
      <c r="C872" s="2"/>
      <c r="D872" s="2"/>
      <c r="E872" s="2"/>
      <c r="F872" s="2"/>
    </row>
    <row r="873">
      <c r="A873" s="2"/>
      <c r="B873" s="2"/>
      <c r="C873" s="2"/>
      <c r="D873" s="2"/>
      <c r="E873" s="2"/>
      <c r="F873" s="2"/>
    </row>
    <row r="874">
      <c r="A874" s="2"/>
      <c r="B874" s="2"/>
      <c r="C874" s="2"/>
      <c r="D874" s="2"/>
      <c r="E874" s="2"/>
      <c r="F874" s="2"/>
    </row>
    <row r="875">
      <c r="A875" s="2"/>
      <c r="B875" s="2"/>
      <c r="C875" s="2"/>
      <c r="D875" s="2"/>
      <c r="E875" s="2"/>
      <c r="F875" s="2"/>
    </row>
    <row r="876">
      <c r="A876" s="2"/>
      <c r="B876" s="2"/>
      <c r="C876" s="2"/>
      <c r="D876" s="2"/>
      <c r="E876" s="2"/>
      <c r="F876" s="2"/>
    </row>
    <row r="877">
      <c r="A877" s="2"/>
      <c r="B877" s="2"/>
      <c r="C877" s="2"/>
      <c r="D877" s="2"/>
      <c r="E877" s="2"/>
      <c r="F877" s="2"/>
    </row>
    <row r="878">
      <c r="A878" s="2"/>
      <c r="B878" s="2"/>
      <c r="C878" s="2"/>
      <c r="D878" s="2"/>
      <c r="E878" s="2"/>
      <c r="F878" s="2"/>
    </row>
    <row r="879">
      <c r="A879" s="2"/>
      <c r="B879" s="2"/>
      <c r="C879" s="2"/>
      <c r="D879" s="2"/>
      <c r="E879" s="2"/>
      <c r="F879" s="2"/>
    </row>
    <row r="880">
      <c r="A880" s="2"/>
      <c r="B880" s="2"/>
      <c r="C880" s="2"/>
      <c r="D880" s="2"/>
      <c r="E880" s="2"/>
      <c r="F880" s="2"/>
    </row>
    <row r="881">
      <c r="A881" s="2"/>
      <c r="B881" s="2"/>
      <c r="C881" s="2"/>
      <c r="D881" s="2"/>
      <c r="E881" s="2"/>
      <c r="F881" s="2"/>
    </row>
    <row r="882">
      <c r="A882" s="2"/>
      <c r="B882" s="2"/>
      <c r="C882" s="2"/>
      <c r="D882" s="2"/>
      <c r="E882" s="2"/>
      <c r="F882" s="2"/>
    </row>
    <row r="883">
      <c r="A883" s="2"/>
      <c r="B883" s="2"/>
      <c r="C883" s="2"/>
      <c r="D883" s="2"/>
      <c r="E883" s="2"/>
      <c r="F883" s="2"/>
    </row>
    <row r="884">
      <c r="A884" s="2"/>
      <c r="B884" s="2"/>
      <c r="C884" s="2"/>
      <c r="D884" s="2"/>
      <c r="E884" s="2"/>
      <c r="F884" s="2"/>
    </row>
    <row r="885">
      <c r="A885" s="2"/>
      <c r="B885" s="2"/>
      <c r="C885" s="2"/>
      <c r="D885" s="2"/>
      <c r="E885" s="2"/>
      <c r="F885" s="2"/>
    </row>
    <row r="886">
      <c r="A886" s="2"/>
      <c r="B886" s="2"/>
      <c r="C886" s="2"/>
      <c r="D886" s="2"/>
      <c r="E886" s="2"/>
      <c r="F886" s="2"/>
    </row>
    <row r="887">
      <c r="A887" s="2"/>
      <c r="B887" s="2"/>
      <c r="C887" s="2"/>
      <c r="D887" s="2"/>
      <c r="E887" s="2"/>
      <c r="F887" s="2"/>
    </row>
    <row r="888">
      <c r="A888" s="2"/>
      <c r="B888" s="2"/>
      <c r="C888" s="2"/>
      <c r="D888" s="2"/>
      <c r="E888" s="2"/>
      <c r="F888" s="2"/>
    </row>
    <row r="889">
      <c r="A889" s="2"/>
      <c r="B889" s="2"/>
      <c r="C889" s="2"/>
      <c r="D889" s="2"/>
      <c r="E889" s="2"/>
      <c r="F889" s="2"/>
    </row>
    <row r="890">
      <c r="A890" s="2"/>
      <c r="B890" s="2"/>
      <c r="C890" s="2"/>
      <c r="D890" s="2"/>
      <c r="E890" s="2"/>
      <c r="F890" s="2"/>
    </row>
    <row r="891">
      <c r="A891" s="2"/>
      <c r="B891" s="2"/>
      <c r="C891" s="2"/>
      <c r="D891" s="2"/>
      <c r="E891" s="2"/>
      <c r="F891" s="2"/>
    </row>
    <row r="892">
      <c r="A892" s="2"/>
      <c r="B892" s="2"/>
      <c r="C892" s="2"/>
      <c r="D892" s="2"/>
      <c r="E892" s="2"/>
      <c r="F892" s="2"/>
    </row>
    <row r="893">
      <c r="A893" s="2"/>
      <c r="B893" s="2"/>
      <c r="C893" s="2"/>
      <c r="D893" s="2"/>
      <c r="E893" s="2"/>
      <c r="F893" s="2"/>
    </row>
    <row r="894">
      <c r="A894" s="2"/>
      <c r="B894" s="2"/>
      <c r="C894" s="2"/>
      <c r="D894" s="2"/>
      <c r="E894" s="2"/>
      <c r="F894" s="2"/>
    </row>
    <row r="895">
      <c r="A895" s="2"/>
      <c r="B895" s="2"/>
      <c r="C895" s="2"/>
      <c r="D895" s="2"/>
      <c r="E895" s="2"/>
      <c r="F895" s="2"/>
    </row>
    <row r="896">
      <c r="A896" s="2"/>
      <c r="B896" s="2"/>
      <c r="C896" s="2"/>
      <c r="D896" s="2"/>
      <c r="E896" s="2"/>
      <c r="F896" s="2"/>
    </row>
    <row r="897">
      <c r="A897" s="2"/>
      <c r="B897" s="2"/>
      <c r="C897" s="2"/>
      <c r="D897" s="2"/>
      <c r="E897" s="2"/>
      <c r="F897" s="2"/>
    </row>
    <row r="898">
      <c r="A898" s="2"/>
      <c r="B898" s="2"/>
      <c r="C898" s="2"/>
      <c r="D898" s="2"/>
      <c r="E898" s="2"/>
      <c r="F898" s="2"/>
    </row>
    <row r="899">
      <c r="A899" s="2"/>
      <c r="B899" s="2"/>
      <c r="C899" s="2"/>
      <c r="D899" s="2"/>
      <c r="E899" s="2"/>
      <c r="F899" s="2"/>
    </row>
    <row r="900">
      <c r="A900" s="2"/>
      <c r="B900" s="2"/>
      <c r="C900" s="2"/>
      <c r="D900" s="2"/>
      <c r="E900" s="2"/>
      <c r="F900" s="2"/>
    </row>
    <row r="901">
      <c r="A901" s="2"/>
      <c r="B901" s="2"/>
      <c r="C901" s="2"/>
      <c r="D901" s="2"/>
      <c r="E901" s="2"/>
      <c r="F901" s="2"/>
    </row>
    <row r="902">
      <c r="A902" s="2"/>
      <c r="B902" s="2"/>
      <c r="C902" s="2"/>
      <c r="D902" s="2"/>
      <c r="E902" s="2"/>
      <c r="F902" s="2"/>
    </row>
    <row r="903">
      <c r="A903" s="2"/>
      <c r="B903" s="2"/>
      <c r="C903" s="2"/>
      <c r="D903" s="2"/>
      <c r="E903" s="2"/>
      <c r="F903" s="2"/>
    </row>
    <row r="904">
      <c r="A904" s="2"/>
      <c r="B904" s="2"/>
      <c r="C904" s="2"/>
      <c r="D904" s="2"/>
      <c r="E904" s="2"/>
      <c r="F904" s="2"/>
    </row>
    <row r="905">
      <c r="A905" s="2"/>
      <c r="B905" s="2"/>
      <c r="C905" s="2"/>
      <c r="D905" s="2"/>
      <c r="E905" s="2"/>
      <c r="F905" s="2"/>
    </row>
    <row r="906">
      <c r="A906" s="2"/>
      <c r="B906" s="2"/>
      <c r="C906" s="2"/>
      <c r="D906" s="2"/>
      <c r="E906" s="2"/>
      <c r="F906" s="2"/>
    </row>
    <row r="907">
      <c r="A907" s="2"/>
      <c r="B907" s="2"/>
      <c r="C907" s="2"/>
      <c r="D907" s="2"/>
      <c r="E907" s="2"/>
      <c r="F907" s="2"/>
    </row>
    <row r="908">
      <c r="A908" s="2"/>
      <c r="B908" s="2"/>
      <c r="C908" s="2"/>
      <c r="D908" s="2"/>
      <c r="E908" s="2"/>
      <c r="F908" s="2"/>
    </row>
    <row r="909">
      <c r="A909" s="2"/>
      <c r="B909" s="2"/>
      <c r="C909" s="2"/>
      <c r="D909" s="2"/>
      <c r="E909" s="2"/>
      <c r="F909" s="2"/>
    </row>
    <row r="910">
      <c r="A910" s="2"/>
      <c r="B910" s="2"/>
      <c r="C910" s="2"/>
      <c r="D910" s="2"/>
      <c r="E910" s="2"/>
      <c r="F910" s="2"/>
    </row>
    <row r="911">
      <c r="A911" s="2"/>
      <c r="B911" s="2"/>
      <c r="C911" s="2"/>
      <c r="D911" s="2"/>
      <c r="E911" s="2"/>
      <c r="F911" s="2"/>
    </row>
    <row r="912">
      <c r="A912" s="2"/>
      <c r="B912" s="2"/>
      <c r="C912" s="2"/>
      <c r="D912" s="2"/>
      <c r="E912" s="2"/>
      <c r="F912" s="2"/>
    </row>
    <row r="913">
      <c r="A913" s="2"/>
      <c r="B913" s="2"/>
      <c r="C913" s="2"/>
      <c r="D913" s="2"/>
      <c r="E913" s="2"/>
      <c r="F913" s="2"/>
    </row>
    <row r="914">
      <c r="A914" s="2"/>
      <c r="B914" s="2"/>
      <c r="C914" s="2"/>
      <c r="D914" s="2"/>
      <c r="E914" s="2"/>
      <c r="F914" s="2"/>
    </row>
    <row r="915">
      <c r="A915" s="2"/>
      <c r="B915" s="2"/>
      <c r="C915" s="2"/>
      <c r="D915" s="2"/>
      <c r="E915" s="2"/>
      <c r="F915" s="2"/>
    </row>
    <row r="916">
      <c r="A916" s="2"/>
      <c r="B916" s="2"/>
      <c r="C916" s="2"/>
      <c r="D916" s="2"/>
      <c r="E916" s="2"/>
      <c r="F916" s="2"/>
    </row>
    <row r="917">
      <c r="A917" s="2"/>
      <c r="B917" s="2"/>
      <c r="C917" s="2"/>
      <c r="D917" s="2"/>
      <c r="E917" s="2"/>
      <c r="F917" s="2"/>
    </row>
    <row r="918">
      <c r="A918" s="2"/>
      <c r="B918" s="2"/>
      <c r="C918" s="2"/>
      <c r="D918" s="2"/>
      <c r="E918" s="2"/>
      <c r="F918" s="2"/>
    </row>
    <row r="919">
      <c r="A919" s="2"/>
      <c r="B919" s="2"/>
      <c r="C919" s="2"/>
      <c r="D919" s="2"/>
      <c r="E919" s="2"/>
      <c r="F919" s="2"/>
    </row>
    <row r="920">
      <c r="A920" s="2"/>
      <c r="B920" s="2"/>
      <c r="C920" s="2"/>
      <c r="D920" s="2"/>
      <c r="E920" s="2"/>
      <c r="F920" s="2"/>
    </row>
    <row r="921">
      <c r="A921" s="2"/>
      <c r="B921" s="2"/>
      <c r="C921" s="2"/>
      <c r="D921" s="2"/>
      <c r="E921" s="2"/>
      <c r="F921" s="2"/>
    </row>
    <row r="922">
      <c r="A922" s="2"/>
      <c r="B922" s="2"/>
      <c r="C922" s="2"/>
      <c r="D922" s="2"/>
      <c r="E922" s="2"/>
      <c r="F922" s="2"/>
    </row>
    <row r="923">
      <c r="A923" s="2"/>
      <c r="B923" s="2"/>
      <c r="C923" s="2"/>
      <c r="D923" s="2"/>
      <c r="E923" s="2"/>
      <c r="F923" s="2"/>
    </row>
    <row r="924">
      <c r="A924" s="2"/>
      <c r="B924" s="2"/>
      <c r="C924" s="2"/>
      <c r="D924" s="2"/>
      <c r="E924" s="2"/>
      <c r="F924" s="2"/>
    </row>
    <row r="925">
      <c r="A925" s="2"/>
      <c r="B925" s="2"/>
      <c r="C925" s="2"/>
      <c r="D925" s="2"/>
      <c r="E925" s="2"/>
      <c r="F925" s="2"/>
    </row>
    <row r="926">
      <c r="A926" s="2"/>
      <c r="B926" s="2"/>
      <c r="C926" s="2"/>
      <c r="D926" s="2"/>
      <c r="E926" s="2"/>
      <c r="F926" s="2"/>
    </row>
    <row r="927">
      <c r="A927" s="2"/>
      <c r="B927" s="2"/>
      <c r="C927" s="2"/>
      <c r="D927" s="2"/>
      <c r="E927" s="2"/>
      <c r="F927" s="2"/>
    </row>
    <row r="928">
      <c r="A928" s="2"/>
      <c r="B928" s="2"/>
      <c r="C928" s="2"/>
      <c r="D928" s="2"/>
      <c r="E928" s="2"/>
      <c r="F928" s="2"/>
    </row>
    <row r="929">
      <c r="A929" s="2"/>
      <c r="B929" s="2"/>
      <c r="C929" s="2"/>
      <c r="D929" s="2"/>
      <c r="E929" s="2"/>
      <c r="F929" s="2"/>
    </row>
    <row r="930">
      <c r="A930" s="2"/>
      <c r="B930" s="2"/>
      <c r="C930" s="2"/>
      <c r="D930" s="2"/>
      <c r="E930" s="2"/>
      <c r="F930" s="2"/>
    </row>
    <row r="931">
      <c r="A931" s="2"/>
      <c r="B931" s="2"/>
      <c r="C931" s="2"/>
      <c r="D931" s="2"/>
      <c r="E931" s="2"/>
      <c r="F931" s="2"/>
    </row>
    <row r="932">
      <c r="A932" s="2"/>
      <c r="B932" s="2"/>
      <c r="C932" s="2"/>
      <c r="D932" s="2"/>
      <c r="E932" s="2"/>
      <c r="F932" s="2"/>
    </row>
    <row r="933">
      <c r="A933" s="2"/>
      <c r="B933" s="2"/>
      <c r="C933" s="2"/>
      <c r="D933" s="2"/>
      <c r="E933" s="2"/>
      <c r="F933" s="2"/>
    </row>
    <row r="934">
      <c r="A934" s="2"/>
      <c r="B934" s="2"/>
      <c r="C934" s="2"/>
      <c r="D934" s="2"/>
      <c r="E934" s="2"/>
      <c r="F934" s="2"/>
    </row>
    <row r="935">
      <c r="A935" s="2"/>
      <c r="B935" s="2"/>
      <c r="C935" s="2"/>
      <c r="D935" s="2"/>
      <c r="E935" s="2"/>
      <c r="F935" s="2"/>
    </row>
    <row r="936">
      <c r="A936" s="2"/>
      <c r="B936" s="2"/>
      <c r="C936" s="2"/>
      <c r="D936" s="2"/>
      <c r="E936" s="2"/>
      <c r="F936" s="2"/>
    </row>
    <row r="937">
      <c r="A937" s="2"/>
      <c r="B937" s="2"/>
      <c r="C937" s="2"/>
      <c r="D937" s="2"/>
      <c r="E937" s="2"/>
      <c r="F937" s="2"/>
    </row>
    <row r="938">
      <c r="A938" s="2"/>
      <c r="B938" s="2"/>
      <c r="C938" s="2"/>
      <c r="D938" s="2"/>
      <c r="E938" s="2"/>
      <c r="F938" s="2"/>
    </row>
    <row r="939">
      <c r="A939" s="2"/>
      <c r="B939" s="2"/>
      <c r="C939" s="2"/>
      <c r="D939" s="2"/>
      <c r="E939" s="2"/>
      <c r="F939" s="2"/>
    </row>
    <row r="940">
      <c r="A940" s="2"/>
      <c r="B940" s="2"/>
      <c r="C940" s="2"/>
      <c r="D940" s="2"/>
      <c r="E940" s="2"/>
      <c r="F940" s="2"/>
    </row>
    <row r="941">
      <c r="A941" s="2"/>
      <c r="B941" s="2"/>
      <c r="C941" s="2"/>
      <c r="D941" s="2"/>
      <c r="E941" s="2"/>
      <c r="F941" s="2"/>
    </row>
    <row r="942">
      <c r="A942" s="2"/>
      <c r="B942" s="2"/>
      <c r="C942" s="2"/>
      <c r="D942" s="2"/>
      <c r="E942" s="2"/>
      <c r="F942" s="2"/>
    </row>
    <row r="943">
      <c r="A943" s="2"/>
      <c r="B943" s="2"/>
      <c r="C943" s="2"/>
      <c r="D943" s="2"/>
      <c r="E943" s="2"/>
      <c r="F943" s="2"/>
    </row>
    <row r="944">
      <c r="A944" s="2"/>
      <c r="B944" s="2"/>
      <c r="C944" s="2"/>
      <c r="D944" s="2"/>
      <c r="E944" s="2"/>
      <c r="F944" s="2"/>
    </row>
    <row r="945">
      <c r="A945" s="2"/>
      <c r="B945" s="2"/>
      <c r="C945" s="2"/>
      <c r="D945" s="2"/>
      <c r="E945" s="2"/>
      <c r="F945" s="2"/>
    </row>
    <row r="946">
      <c r="A946" s="2"/>
      <c r="B946" s="2"/>
      <c r="C946" s="2"/>
      <c r="D946" s="2"/>
      <c r="E946" s="2"/>
      <c r="F946" s="2"/>
    </row>
    <row r="947">
      <c r="A947" s="2"/>
      <c r="B947" s="2"/>
      <c r="C947" s="2"/>
      <c r="D947" s="2"/>
      <c r="E947" s="2"/>
      <c r="F947" s="2"/>
    </row>
    <row r="948">
      <c r="A948" s="2"/>
      <c r="B948" s="2"/>
      <c r="C948" s="2"/>
      <c r="D948" s="2"/>
      <c r="E948" s="2"/>
      <c r="F948" s="2"/>
    </row>
    <row r="949">
      <c r="A949" s="2"/>
      <c r="B949" s="2"/>
      <c r="C949" s="2"/>
      <c r="D949" s="2"/>
      <c r="E949" s="2"/>
      <c r="F949" s="2"/>
    </row>
    <row r="950">
      <c r="A950" s="2"/>
      <c r="B950" s="2"/>
      <c r="C950" s="2"/>
      <c r="D950" s="2"/>
      <c r="E950" s="2"/>
      <c r="F950" s="2"/>
    </row>
    <row r="951">
      <c r="A951" s="2"/>
      <c r="B951" s="2"/>
      <c r="C951" s="2"/>
      <c r="D951" s="2"/>
      <c r="E951" s="2"/>
      <c r="F951" s="2"/>
    </row>
    <row r="952">
      <c r="A952" s="2"/>
      <c r="B952" s="2"/>
      <c r="C952" s="2"/>
      <c r="D952" s="2"/>
      <c r="E952" s="2"/>
      <c r="F952" s="2"/>
    </row>
    <row r="953">
      <c r="A953" s="2"/>
      <c r="B953" s="2"/>
      <c r="C953" s="2"/>
      <c r="D953" s="2"/>
      <c r="E953" s="2"/>
      <c r="F953" s="2"/>
    </row>
    <row r="954">
      <c r="A954" s="2"/>
      <c r="B954" s="2"/>
      <c r="C954" s="2"/>
      <c r="D954" s="2"/>
      <c r="E954" s="2"/>
      <c r="F954" s="2"/>
    </row>
    <row r="955">
      <c r="A955" s="2"/>
      <c r="B955" s="2"/>
      <c r="C955" s="2"/>
      <c r="D955" s="2"/>
      <c r="E955" s="2"/>
      <c r="F955" s="2"/>
    </row>
    <row r="956">
      <c r="A956" s="2"/>
      <c r="B956" s="2"/>
      <c r="C956" s="2"/>
      <c r="D956" s="2"/>
      <c r="E956" s="2"/>
      <c r="F956" s="2"/>
    </row>
    <row r="957">
      <c r="A957" s="2"/>
      <c r="B957" s="2"/>
      <c r="C957" s="2"/>
      <c r="D957" s="2"/>
      <c r="E957" s="2"/>
      <c r="F957" s="2"/>
    </row>
    <row r="958">
      <c r="A958" s="2"/>
      <c r="B958" s="2"/>
      <c r="C958" s="2"/>
      <c r="D958" s="2"/>
      <c r="E958" s="2"/>
      <c r="F958" s="2"/>
    </row>
    <row r="959">
      <c r="A959" s="2"/>
      <c r="B959" s="2"/>
      <c r="C959" s="2"/>
      <c r="D959" s="2"/>
      <c r="E959" s="2"/>
      <c r="F959" s="2"/>
    </row>
    <row r="960">
      <c r="A960" s="2"/>
      <c r="B960" s="2"/>
      <c r="C960" s="2"/>
      <c r="D960" s="2"/>
      <c r="E960" s="2"/>
      <c r="F960" s="2"/>
    </row>
    <row r="961">
      <c r="A961" s="2"/>
      <c r="B961" s="2"/>
      <c r="C961" s="2"/>
      <c r="D961" s="2"/>
      <c r="E961" s="2"/>
      <c r="F961" s="2"/>
    </row>
    <row r="962">
      <c r="A962" s="2"/>
      <c r="B962" s="2"/>
      <c r="C962" s="2"/>
      <c r="D962" s="2"/>
      <c r="E962" s="2"/>
      <c r="F962" s="2"/>
    </row>
    <row r="963">
      <c r="A963" s="2"/>
      <c r="B963" s="2"/>
      <c r="C963" s="2"/>
      <c r="D963" s="2"/>
      <c r="E963" s="2"/>
      <c r="F963" s="2"/>
    </row>
    <row r="964">
      <c r="A964" s="2"/>
      <c r="B964" s="2"/>
      <c r="C964" s="2"/>
      <c r="D964" s="2"/>
      <c r="E964" s="2"/>
      <c r="F964" s="2"/>
    </row>
    <row r="965">
      <c r="A965" s="2"/>
      <c r="B965" s="2"/>
      <c r="C965" s="2"/>
      <c r="D965" s="2"/>
      <c r="E965" s="2"/>
      <c r="F965" s="2"/>
    </row>
    <row r="966">
      <c r="A966" s="2"/>
      <c r="B966" s="2"/>
      <c r="C966" s="2"/>
      <c r="D966" s="2"/>
      <c r="E966" s="2"/>
      <c r="F966" s="2"/>
    </row>
    <row r="967">
      <c r="A967" s="2"/>
      <c r="B967" s="2"/>
      <c r="C967" s="2"/>
      <c r="D967" s="2"/>
      <c r="E967" s="2"/>
      <c r="F967" s="2"/>
    </row>
    <row r="968">
      <c r="A968" s="2"/>
      <c r="B968" s="2"/>
      <c r="C968" s="2"/>
      <c r="D968" s="2"/>
      <c r="E968" s="2"/>
      <c r="F968" s="2"/>
    </row>
    <row r="969">
      <c r="A969" s="2"/>
      <c r="B969" s="2"/>
      <c r="C969" s="2"/>
      <c r="D969" s="2"/>
      <c r="E969" s="2"/>
      <c r="F969" s="2"/>
    </row>
    <row r="970">
      <c r="A970" s="2"/>
      <c r="B970" s="2"/>
      <c r="C970" s="2"/>
      <c r="D970" s="2"/>
      <c r="E970" s="2"/>
      <c r="F970" s="2"/>
    </row>
    <row r="971">
      <c r="A971" s="2"/>
      <c r="B971" s="2"/>
      <c r="C971" s="2"/>
      <c r="D971" s="2"/>
      <c r="E971" s="2"/>
      <c r="F971" s="2"/>
    </row>
    <row r="972">
      <c r="A972" s="2"/>
      <c r="B972" s="2"/>
      <c r="C972" s="2"/>
      <c r="D972" s="2"/>
      <c r="E972" s="2"/>
      <c r="F972" s="2"/>
    </row>
    <row r="973">
      <c r="A973" s="2"/>
      <c r="B973" s="2"/>
      <c r="C973" s="2"/>
      <c r="D973" s="2"/>
      <c r="E973" s="2"/>
      <c r="F973" s="2"/>
    </row>
    <row r="974">
      <c r="A974" s="2"/>
      <c r="B974" s="2"/>
      <c r="C974" s="2"/>
      <c r="D974" s="2"/>
      <c r="E974" s="2"/>
      <c r="F974" s="2"/>
    </row>
    <row r="975">
      <c r="A975" s="2"/>
      <c r="B975" s="2"/>
      <c r="C975" s="2"/>
      <c r="D975" s="2"/>
      <c r="E975" s="2"/>
      <c r="F975" s="2"/>
    </row>
    <row r="976">
      <c r="A976" s="2"/>
      <c r="B976" s="2"/>
      <c r="C976" s="2"/>
      <c r="D976" s="2"/>
      <c r="E976" s="2"/>
      <c r="F976" s="2"/>
    </row>
    <row r="977">
      <c r="A977" s="2"/>
      <c r="B977" s="2"/>
      <c r="C977" s="2"/>
      <c r="D977" s="2"/>
      <c r="E977" s="2"/>
      <c r="F977" s="2"/>
    </row>
    <row r="978">
      <c r="A978" s="2"/>
      <c r="B978" s="2"/>
      <c r="C978" s="2"/>
      <c r="D978" s="2"/>
      <c r="E978" s="2"/>
      <c r="F978" s="2"/>
    </row>
    <row r="979">
      <c r="A979" s="2"/>
      <c r="B979" s="2"/>
      <c r="C979" s="2"/>
      <c r="D979" s="2"/>
      <c r="E979" s="2"/>
      <c r="F979" s="2"/>
    </row>
    <row r="980">
      <c r="A980" s="2"/>
      <c r="B980" s="2"/>
      <c r="C980" s="2"/>
      <c r="D980" s="2"/>
      <c r="E980" s="2"/>
      <c r="F980" s="2"/>
    </row>
    <row r="981">
      <c r="A981" s="2"/>
      <c r="B981" s="2"/>
      <c r="C981" s="2"/>
      <c r="D981" s="2"/>
      <c r="E981" s="2"/>
      <c r="F981" s="2"/>
    </row>
    <row r="982">
      <c r="A982" s="2"/>
      <c r="B982" s="2"/>
      <c r="C982" s="2"/>
      <c r="D982" s="2"/>
      <c r="E982" s="2"/>
      <c r="F982" s="2"/>
    </row>
    <row r="983">
      <c r="A983" s="2"/>
      <c r="B983" s="2"/>
      <c r="C983" s="2"/>
      <c r="D983" s="2"/>
      <c r="E983" s="2"/>
      <c r="F983" s="2"/>
    </row>
    <row r="984">
      <c r="A984" s="2"/>
      <c r="B984" s="2"/>
      <c r="C984" s="2"/>
      <c r="D984" s="2"/>
      <c r="E984" s="2"/>
      <c r="F984" s="2"/>
    </row>
    <row r="985">
      <c r="A985" s="2"/>
      <c r="B985" s="2"/>
      <c r="C985" s="2"/>
      <c r="D985" s="2"/>
      <c r="E985" s="2"/>
      <c r="F985" s="2"/>
    </row>
    <row r="986">
      <c r="A986" s="2"/>
      <c r="B986" s="2"/>
      <c r="C986" s="2"/>
      <c r="D986" s="2"/>
      <c r="E986" s="2"/>
      <c r="F986" s="2"/>
    </row>
    <row r="987">
      <c r="A987" s="2"/>
      <c r="B987" s="2"/>
      <c r="C987" s="2"/>
      <c r="D987" s="2"/>
      <c r="E987" s="2"/>
      <c r="F987" s="2"/>
    </row>
    <row r="988">
      <c r="A988" s="2"/>
      <c r="B988" s="2"/>
      <c r="C988" s="2"/>
      <c r="D988" s="2"/>
      <c r="E988" s="2"/>
      <c r="F988" s="2"/>
    </row>
    <row r="989">
      <c r="A989" s="2"/>
      <c r="B989" s="2"/>
      <c r="C989" s="2"/>
      <c r="D989" s="2"/>
      <c r="E989" s="2"/>
      <c r="F989" s="2"/>
    </row>
    <row r="990">
      <c r="A990" s="2"/>
      <c r="B990" s="2"/>
      <c r="C990" s="2"/>
      <c r="D990" s="2"/>
      <c r="E990" s="2"/>
      <c r="F990" s="2"/>
    </row>
    <row r="991">
      <c r="A991" s="2"/>
      <c r="B991" s="2"/>
      <c r="C991" s="2"/>
      <c r="D991" s="2"/>
      <c r="E991" s="2"/>
      <c r="F991" s="2"/>
    </row>
    <row r="992">
      <c r="A992" s="2"/>
      <c r="B992" s="2"/>
      <c r="C992" s="2"/>
      <c r="D992" s="2"/>
      <c r="E992" s="2"/>
      <c r="F992" s="2"/>
    </row>
    <row r="993">
      <c r="A993" s="2"/>
      <c r="B993" s="2"/>
      <c r="C993" s="2"/>
      <c r="D993" s="2"/>
      <c r="E993" s="2"/>
      <c r="F993" s="2"/>
    </row>
    <row r="994">
      <c r="A994" s="2"/>
      <c r="B994" s="2"/>
      <c r="C994" s="2"/>
      <c r="D994" s="2"/>
      <c r="E994" s="2"/>
      <c r="F994" s="2"/>
    </row>
    <row r="995">
      <c r="A995" s="2"/>
      <c r="B995" s="2"/>
      <c r="C995" s="2"/>
      <c r="D995" s="2"/>
      <c r="E995" s="2"/>
      <c r="F995" s="2"/>
    </row>
    <row r="996">
      <c r="A996" s="2"/>
      <c r="B996" s="2"/>
      <c r="C996" s="2"/>
      <c r="D996" s="2"/>
      <c r="E996" s="2"/>
      <c r="F996" s="2"/>
    </row>
    <row r="997">
      <c r="A997" s="2"/>
      <c r="B997" s="2"/>
      <c r="C997" s="2"/>
      <c r="D997" s="2"/>
      <c r="E997" s="2"/>
      <c r="F997" s="2"/>
    </row>
    <row r="998">
      <c r="A998" s="2"/>
      <c r="B998" s="2"/>
      <c r="C998" s="2"/>
      <c r="D998" s="2"/>
      <c r="E998" s="2"/>
      <c r="F998" s="2"/>
    </row>
    <row r="999">
      <c r="A999" s="2"/>
      <c r="B999" s="2"/>
      <c r="C999" s="2"/>
      <c r="D999" s="2"/>
      <c r="E999" s="2"/>
      <c r="F999" s="2"/>
    </row>
    <row r="1000">
      <c r="A1000" s="2"/>
      <c r="B1000" s="2"/>
      <c r="C1000" s="2"/>
      <c r="D1000" s="2"/>
      <c r="E1000" s="2"/>
      <c r="F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</cols>
  <sheetData>
    <row r="1">
      <c r="A1" s="6" t="str">
        <f>IFERROR(__xludf.DUMMYFUNCTION("QUERY(Assignments!A2:G1000, ""SELECT A, B, C, SUM(D), G WHERE G = 'Newark' AND A &gt; 'CS113' GROUP BY A, B, C, G LABEL C 'Section Size', SUM(D) '# Sections'"")"),"")</f>
        <v/>
      </c>
      <c r="B1" s="2" t="str">
        <f>IFERROR(__xludf.DUMMYFUNCTION("""COMPUTED_VALUE"""),"")</f>
        <v/>
      </c>
      <c r="C1" s="2" t="str">
        <f>IFERROR(__xludf.DUMMYFUNCTION("""COMPUTED_VALUE"""),"Section Size")</f>
        <v>Section Size</v>
      </c>
      <c r="D1" s="2" t="str">
        <f>IFERROR(__xludf.DUMMYFUNCTION("""COMPUTED_VALUE"""),"# Sections")</f>
        <v># Sections</v>
      </c>
      <c r="E1" s="2" t="str">
        <f>IFERROR(__xludf.DUMMYFUNCTION("""COMPUTED_VALUE"""),"")</f>
        <v/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2" max="2" width="19.13"/>
  </cols>
  <sheetData>
    <row r="1">
      <c r="A1" s="2" t="str">
        <f>IFERROR(__xludf.DUMMYFUNCTION("QUERY(Assignments!A2:G1000, ""SELECT A, B, SUM(C), SUM(D), G WHERE G = 'Newark' AND A &gt; 'CS113' GROUP BY A, B, G LABEL SUM(C) '# Students', SUM(D) '# Sections'"")"),"")</f>
        <v/>
      </c>
      <c r="B1" s="2" t="str">
        <f>IFERROR(__xludf.DUMMYFUNCTION("""COMPUTED_VALUE"""),"")</f>
        <v/>
      </c>
      <c r="C1" s="2" t="str">
        <f>IFERROR(__xludf.DUMMYFUNCTION("""COMPUTED_VALUE"""),"# Students")</f>
        <v># Students</v>
      </c>
      <c r="D1" s="2" t="str">
        <f>IFERROR(__xludf.DUMMYFUNCTION("""COMPUTED_VALUE"""),"# Sections")</f>
        <v># Sections</v>
      </c>
      <c r="E1" s="2" t="str">
        <f>IFERROR(__xludf.DUMMYFUNCTION("""COMPUTED_VALUE"""),"")</f>
        <v/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7.38"/>
    <col customWidth="1" min="4" max="4" width="29.88"/>
  </cols>
  <sheetData>
    <row r="1">
      <c r="A1" s="2" t="str">
        <f>IFERROR(__xludf.DUMMYFUNCTION("IMPORTRANGE(""1PdcoFWGt3AIUTMYl8AcTH91BRtjxHSklUHqmJeguYM4"", ""'All Faculty'!A:D"")"),"Name")</f>
        <v>Name</v>
      </c>
      <c r="B1" s="2" t="str">
        <f>IFERROR(__xludf.DUMMYFUNCTION("""COMPUTED_VALUE"""),"Email")</f>
        <v>Email</v>
      </c>
      <c r="C1" s="2" t="str">
        <f>IFERROR(__xludf.DUMMYFUNCTION("""COMPUTED_VALUE"""),"8 Digit ID")</f>
        <v>8 Digit ID</v>
      </c>
      <c r="D1" s="2" t="str">
        <f>IFERROR(__xludf.DUMMYFUNCTION("""COMPUTED_VALUE"""),"Job Title")</f>
        <v>Job Title</v>
      </c>
    </row>
    <row r="2">
      <c r="A2" s="2" t="str">
        <f>IFERROR(__xludf.DUMMYFUNCTION("""COMPUTED_VALUE"""),"Abduallah, Yasser")</f>
        <v>Abduallah, Yasser</v>
      </c>
      <c r="B2" s="2" t="str">
        <f>IFERROR(__xludf.DUMMYFUNCTION("""COMPUTED_VALUE"""),"ya54@njit.edu")</f>
        <v>ya54@njit.edu</v>
      </c>
      <c r="C2" s="2">
        <f>IFERROR(__xludf.DUMMYFUNCTION("""COMPUTED_VALUE"""),3.1234231E7)</f>
        <v>31234231</v>
      </c>
      <c r="D2" s="2" t="str">
        <f>IFERROR(__xludf.DUMMYFUNCTION("""COMPUTED_VALUE"""),"Adjunct, Tier I")</f>
        <v>Adjunct, Tier I</v>
      </c>
    </row>
    <row r="3">
      <c r="A3" s="2" t="str">
        <f>IFERROR(__xludf.DUMMYFUNCTION("""COMPUTED_VALUE"""),"Amin, Nadyrah")</f>
        <v>Amin, Nadyrah</v>
      </c>
      <c r="B3" s="2" t="str">
        <f>IFERROR(__xludf.DUMMYFUNCTION("""COMPUTED_VALUE"""),"nma46@njit.edu")</f>
        <v>nma46@njit.edu</v>
      </c>
      <c r="C3" s="2">
        <f>IFERROR(__xludf.DUMMYFUNCTION("""COMPUTED_VALUE"""),2.1280977E7)</f>
        <v>21280977</v>
      </c>
      <c r="D3" s="2" t="str">
        <f>IFERROR(__xludf.DUMMYFUNCTION("""COMPUTED_VALUE"""),"Adjunct, Tier I")</f>
        <v>Adjunct, Tier I</v>
      </c>
    </row>
    <row r="4">
      <c r="A4" s="2" t="str">
        <f>IFERROR(__xludf.DUMMYFUNCTION("""COMPUTED_VALUE"""),"Basu Roy, Senjuti")</f>
        <v>Basu Roy, Senjuti</v>
      </c>
      <c r="B4" s="2" t="str">
        <f>IFERROR(__xludf.DUMMYFUNCTION("""COMPUTED_VALUE"""),"senjutib@njit.edu")</f>
        <v>senjutib@njit.edu</v>
      </c>
      <c r="C4" s="2">
        <f>IFERROR(__xludf.DUMMYFUNCTION("""COMPUTED_VALUE"""),3.1405694E7)</f>
        <v>31405694</v>
      </c>
      <c r="D4" s="2" t="str">
        <f>IFERROR(__xludf.DUMMYFUNCTION("""COMPUTED_VALUE"""),"Professor, Associate")</f>
        <v>Professor, Associate</v>
      </c>
    </row>
    <row r="5">
      <c r="A5" s="2" t="str">
        <f>IFERROR(__xludf.DUMMYFUNCTION("""COMPUTED_VALUE"""),"Apostolyuk, Vadym")</f>
        <v>Apostolyuk, Vadym</v>
      </c>
      <c r="B5" s="2" t="str">
        <f>IFERROR(__xludf.DUMMYFUNCTION("""COMPUTED_VALUE"""),"va58@njit.edu")</f>
        <v>va58@njit.edu</v>
      </c>
      <c r="C5" s="2">
        <f>IFERROR(__xludf.DUMMYFUNCTION("""COMPUTED_VALUE"""),3.1005195E7)</f>
        <v>31005195</v>
      </c>
      <c r="D5" s="2" t="str">
        <f>IFERROR(__xludf.DUMMYFUNCTION("""COMPUTED_VALUE"""),"Adjunct, Tier III")</f>
        <v>Adjunct, Tier III</v>
      </c>
    </row>
    <row r="6">
      <c r="A6" s="2" t="str">
        <f>IFERROR(__xludf.DUMMYFUNCTION("""COMPUTED_VALUE"""),"Arafeh, Bassel")</f>
        <v>Arafeh, Bassel</v>
      </c>
      <c r="B6" s="2" t="str">
        <f>IFERROR(__xludf.DUMMYFUNCTION("""COMPUTED_VALUE"""),"ba62@njit.edu")</f>
        <v>ba62@njit.edu</v>
      </c>
      <c r="C6" s="2">
        <f>IFERROR(__xludf.DUMMYFUNCTION("""COMPUTED_VALUE"""),3.1544114E7)</f>
        <v>31544114</v>
      </c>
      <c r="D6" s="2" t="str">
        <f>IFERROR(__xludf.DUMMYFUNCTION("""COMPUTED_VALUE"""),"University Lecturer, Senior")</f>
        <v>University Lecturer, Senior</v>
      </c>
    </row>
    <row r="7">
      <c r="A7" s="2" t="str">
        <f>IFERROR(__xludf.DUMMYFUNCTION("""COMPUTED_VALUE"""),"Arroyo, Angela")</f>
        <v>Arroyo, Angela</v>
      </c>
      <c r="B7" s="2" t="str">
        <f>IFERROR(__xludf.DUMMYFUNCTION("""COMPUTED_VALUE"""),"ara55@njit.edu")</f>
        <v>ara55@njit.edu</v>
      </c>
      <c r="C7" s="2">
        <f>IFERROR(__xludf.DUMMYFUNCTION("""COMPUTED_VALUE"""),3.1392377E7)</f>
        <v>31392377</v>
      </c>
      <c r="D7" s="2" t="str">
        <f>IFERROR(__xludf.DUMMYFUNCTION("""COMPUTED_VALUE"""),"Adjunct, Tier I")</f>
        <v>Adjunct, Tier I</v>
      </c>
    </row>
    <row r="8">
      <c r="A8" s="2" t="str">
        <f>IFERROR(__xludf.DUMMYFUNCTION("""COMPUTED_VALUE"""),"Ayad, Amani")</f>
        <v>Ayad, Amani</v>
      </c>
      <c r="B8" s="2" t="str">
        <f>IFERROR(__xludf.DUMMYFUNCTION("""COMPUTED_VALUE"""),"aa894@njit.edu")</f>
        <v>aa894@njit.edu</v>
      </c>
      <c r="C8" s="2">
        <f>IFERROR(__xludf.DUMMYFUNCTION("""COMPUTED_VALUE"""),3.1350848E7)</f>
        <v>31350848</v>
      </c>
      <c r="D8" s="2" t="str">
        <f>IFERROR(__xludf.DUMMYFUNCTION("""COMPUTED_VALUE"""),"Adjunct, Tier I")</f>
        <v>Adjunct, Tier I</v>
      </c>
    </row>
    <row r="9">
      <c r="A9" s="2" t="str">
        <f>IFERROR(__xludf.DUMMYFUNCTION("""COMPUTED_VALUE"""),"Borcea, Cristian")</f>
        <v>Borcea, Cristian</v>
      </c>
      <c r="B9" s="2" t="str">
        <f>IFERROR(__xludf.DUMMYFUNCTION("""COMPUTED_VALUE"""),"borcea@njit.edu")</f>
        <v>borcea@njit.edu</v>
      </c>
      <c r="C9" s="2">
        <f>IFERROR(__xludf.DUMMYFUNCTION("""COMPUTED_VALUE"""),2.1368091E7)</f>
        <v>21368091</v>
      </c>
      <c r="D9" s="2" t="str">
        <f>IFERROR(__xludf.DUMMYFUNCTION("""COMPUTED_VALUE"""),"Professor")</f>
        <v>Professor</v>
      </c>
    </row>
    <row r="10">
      <c r="A10" s="2" t="str">
        <f>IFERROR(__xludf.DUMMYFUNCTION("""COMPUTED_VALUE"""),"Bakhshaliyev, Khalid")</f>
        <v>Bakhshaliyev, Khalid</v>
      </c>
      <c r="B10" s="2" t="str">
        <f>IFERROR(__xludf.DUMMYFUNCTION("""COMPUTED_VALUE"""),"kb647@njit.edu")</f>
        <v>kb647@njit.edu</v>
      </c>
      <c r="C10" s="2">
        <f>IFERROR(__xludf.DUMMYFUNCTION("""COMPUTED_VALUE"""),3.1668932E7)</f>
        <v>31668932</v>
      </c>
      <c r="D10" s="2" t="str">
        <f>IFERROR(__xludf.DUMMYFUNCTION("""COMPUTED_VALUE"""),"University Lecturer, Senior")</f>
        <v>University Lecturer, Senior</v>
      </c>
    </row>
    <row r="11">
      <c r="A11" s="2" t="str">
        <f>IFERROR(__xludf.DUMMYFUNCTION("""COMPUTED_VALUE"""),"Banduk, Edward")</f>
        <v>Banduk, Edward</v>
      </c>
      <c r="B11" s="2" t="str">
        <f>IFERROR(__xludf.DUMMYFUNCTION("""COMPUTED_VALUE"""),"banduk@njit.edu")</f>
        <v>banduk@njit.edu</v>
      </c>
      <c r="C11" s="2">
        <f>IFERROR(__xludf.DUMMYFUNCTION("""COMPUTED_VALUE"""),3.1453788E7)</f>
        <v>31453788</v>
      </c>
      <c r="D11" s="2" t="str">
        <f>IFERROR(__xludf.DUMMYFUNCTION("""COMPUTED_VALUE"""),"Adjunct, Tier I")</f>
        <v>Adjunct, Tier I</v>
      </c>
    </row>
    <row r="12">
      <c r="A12" s="2" t="str">
        <f>IFERROR(__xludf.DUMMYFUNCTION("""COMPUTED_VALUE"""),"Calvin, James")</f>
        <v>Calvin, James</v>
      </c>
      <c r="B12" s="2" t="str">
        <f>IFERROR(__xludf.DUMMYFUNCTION("""COMPUTED_VALUE"""),"calvin@njit.edu")</f>
        <v>calvin@njit.edu</v>
      </c>
      <c r="C12" s="2">
        <f>IFERROR(__xludf.DUMMYFUNCTION("""COMPUTED_VALUE"""),2.1368913E7)</f>
        <v>21368913</v>
      </c>
      <c r="D12" s="2" t="str">
        <f>IFERROR(__xludf.DUMMYFUNCTION("""COMPUTED_VALUE"""),"Professor")</f>
        <v>Professor</v>
      </c>
    </row>
    <row r="13">
      <c r="A13" s="2" t="str">
        <f>IFERROR(__xludf.DUMMYFUNCTION("""COMPUTED_VALUE"""),"Bell, Michele")</f>
        <v>Bell, Michele</v>
      </c>
      <c r="B13" s="2" t="str">
        <f>IFERROR(__xludf.DUMMYFUNCTION("""COMPUTED_VALUE"""),"mbell@njit.edu")</f>
        <v>mbell@njit.edu</v>
      </c>
      <c r="C13" s="2">
        <f>IFERROR(__xludf.DUMMYFUNCTION("""COMPUTED_VALUE"""),3.1250631E7)</f>
        <v>31250631</v>
      </c>
      <c r="D13" s="2" t="str">
        <f>IFERROR(__xludf.DUMMYFUNCTION("""COMPUTED_VALUE"""),"Adjunct, Tier I")</f>
        <v>Adjunct, Tier I</v>
      </c>
    </row>
    <row r="14">
      <c r="A14" s="2" t="str">
        <f>IFERROR(__xludf.DUMMYFUNCTION("""COMPUTED_VALUE"""),"Berenjian, Samaneh")</f>
        <v>Berenjian, Samaneh</v>
      </c>
      <c r="B14" s="2" t="str">
        <f>IFERROR(__xludf.DUMMYFUNCTION("""COMPUTED_VALUE"""),"sb936@njit.edu")</f>
        <v>sb936@njit.edu</v>
      </c>
      <c r="C14" s="2">
        <f>IFERROR(__xludf.DUMMYFUNCTION("""COMPUTED_VALUE"""),3.140781E7)</f>
        <v>31407810</v>
      </c>
      <c r="D14" s="2" t="str">
        <f>IFERROR(__xludf.DUMMYFUNCTION("""COMPUTED_VALUE"""),"University Lecturer, Senior")</f>
        <v>University Lecturer, Senior</v>
      </c>
    </row>
    <row r="15">
      <c r="A15" s="2" t="str">
        <f>IFERROR(__xludf.DUMMYFUNCTION("""COMPUTED_VALUE"""),"Bhavsar, Jaini")</f>
        <v>Bhavsar, Jaini</v>
      </c>
      <c r="B15" s="2" t="str">
        <f>IFERROR(__xludf.DUMMYFUNCTION("""COMPUTED_VALUE"""),"jkb37@njit.edu")</f>
        <v>jkb37@njit.edu</v>
      </c>
      <c r="C15" s="2">
        <f>IFERROR(__xludf.DUMMYFUNCTION("""COMPUTED_VALUE"""),3.1530364E7)</f>
        <v>31530364</v>
      </c>
      <c r="D15" s="2" t="str">
        <f>IFERROR(__xludf.DUMMYFUNCTION("""COMPUTED_VALUE"""),"University Lecturer")</f>
        <v>University Lecturer</v>
      </c>
    </row>
    <row r="16">
      <c r="A16" s="2" t="str">
        <f>IFERROR(__xludf.DUMMYFUNCTION("""COMPUTED_VALUE"""),"Curtmola, Reza")</f>
        <v>Curtmola, Reza</v>
      </c>
      <c r="B16" s="2" t="str">
        <f>IFERROR(__xludf.DUMMYFUNCTION("""COMPUTED_VALUE"""),"crix@njit.edu")</f>
        <v>crix@njit.edu</v>
      </c>
      <c r="C16" s="2">
        <f>IFERROR(__xludf.DUMMYFUNCTION("""COMPUTED_VALUE"""),2.1484554E7)</f>
        <v>21484554</v>
      </c>
      <c r="D16" s="2" t="str">
        <f>IFERROR(__xludf.DUMMYFUNCTION("""COMPUTED_VALUE"""),"Professor")</f>
        <v>Professor</v>
      </c>
    </row>
    <row r="17">
      <c r="A17" s="2" t="str">
        <f>IFERROR(__xludf.DUMMYFUNCTION("""COMPUTED_VALUE"""),"Ding, Xiaoning")</f>
        <v>Ding, Xiaoning</v>
      </c>
      <c r="B17" s="2" t="str">
        <f>IFERROR(__xludf.DUMMYFUNCTION("""COMPUTED_VALUE"""),"dingxn@njit.edu")</f>
        <v>dingxn@njit.edu</v>
      </c>
      <c r="C17" s="2">
        <f>IFERROR(__xludf.DUMMYFUNCTION("""COMPUTED_VALUE"""),3.1246697E7)</f>
        <v>31246697</v>
      </c>
      <c r="D17" s="2" t="str">
        <f>IFERROR(__xludf.DUMMYFUNCTION("""COMPUTED_VALUE"""),"Professor, Associate")</f>
        <v>Professor, Associate</v>
      </c>
    </row>
    <row r="18">
      <c r="A18" s="2" t="str">
        <f>IFERROR(__xludf.DUMMYFUNCTION("""COMPUTED_VALUE"""),"Gerbessiotis, Alexandros")</f>
        <v>Gerbessiotis, Alexandros</v>
      </c>
      <c r="B18" s="2" t="str">
        <f>IFERROR(__xludf.DUMMYFUNCTION("""COMPUTED_VALUE"""),"alexg@njit.edu")</f>
        <v>alexg@njit.edu</v>
      </c>
      <c r="C18" s="2">
        <f>IFERROR(__xludf.DUMMYFUNCTION("""COMPUTED_VALUE"""),2.1367251E7)</f>
        <v>21367251</v>
      </c>
      <c r="D18" s="2" t="str">
        <f>IFERROR(__xludf.DUMMYFUNCTION("""COMPUTED_VALUE"""),"Professor, Associate")</f>
        <v>Professor, Associate</v>
      </c>
    </row>
    <row r="19">
      <c r="A19" s="2" t="str">
        <f>IFERROR(__xludf.DUMMYFUNCTION("""COMPUTED_VALUE"""),"Campos, Nicole")</f>
        <v>Campos, Nicole</v>
      </c>
      <c r="B19" s="2" t="str">
        <f>IFERROR(__xludf.DUMMYFUNCTION("""COMPUTED_VALUE"""),"nc442@njit.edu")</f>
        <v>nc442@njit.edu</v>
      </c>
      <c r="C19" s="2">
        <f>IFERROR(__xludf.DUMMYFUNCTION("""COMPUTED_VALUE"""),3.1511992E7)</f>
        <v>31511992</v>
      </c>
      <c r="D19" s="2" t="str">
        <f>IFERROR(__xludf.DUMMYFUNCTION("""COMPUTED_VALUE"""),"Adjunct, Tier I")</f>
        <v>Adjunct, Tier I</v>
      </c>
    </row>
    <row r="20">
      <c r="A20" s="2" t="str">
        <f>IFERROR(__xludf.DUMMYFUNCTION("""COMPUTED_VALUE"""),"Jayarajah, Kasthuri")</f>
        <v>Jayarajah, Kasthuri</v>
      </c>
      <c r="B20" s="2" t="str">
        <f>IFERROR(__xludf.DUMMYFUNCTION("""COMPUTED_VALUE"""),"kj373@njit.edu")</f>
        <v>kj373@njit.edu</v>
      </c>
      <c r="C20" s="2">
        <f>IFERROR(__xludf.DUMMYFUNCTION("""COMPUTED_VALUE"""),3.1666949E7)</f>
        <v>31666949</v>
      </c>
      <c r="D20" s="2" t="str">
        <f>IFERROR(__xludf.DUMMYFUNCTION("""COMPUTED_VALUE"""),"Professor, Assistant")</f>
        <v>Professor, Assistant</v>
      </c>
    </row>
    <row r="21">
      <c r="A21" s="2" t="str">
        <f>IFERROR(__xludf.DUMMYFUNCTION("""COMPUTED_VALUE"""),"Casarella, Jerry")</f>
        <v>Casarella, Jerry</v>
      </c>
      <c r="B21" s="2" t="str">
        <f>IFERROR(__xludf.DUMMYFUNCTION("""COMPUTED_VALUE"""),"casarell@njit.edu")</f>
        <v>casarell@njit.edu</v>
      </c>
      <c r="C21" s="2">
        <f>IFERROR(__xludf.DUMMYFUNCTION("""COMPUTED_VALUE"""),2.1484223E7)</f>
        <v>21484223</v>
      </c>
      <c r="D21" s="2" t="str">
        <f>IFERROR(__xludf.DUMMYFUNCTION("""COMPUTED_VALUE"""),"Adjunct, Tier III")</f>
        <v>Adjunct, Tier III</v>
      </c>
    </row>
    <row r="22">
      <c r="A22" s="2" t="str">
        <f>IFERROR(__xludf.DUMMYFUNCTION("""COMPUTED_VALUE"""),"Cervelli, Christine")</f>
        <v>Cervelli, Christine</v>
      </c>
      <c r="B22" s="2" t="str">
        <f>IFERROR(__xludf.DUMMYFUNCTION("""COMPUTED_VALUE"""),"cervelli@njit.edu")</f>
        <v>cervelli@njit.edu</v>
      </c>
      <c r="C22" s="2">
        <f>IFERROR(__xludf.DUMMYFUNCTION("""COMPUTED_VALUE"""),2.147016E7)</f>
        <v>21470160</v>
      </c>
      <c r="D22" s="2" t="str">
        <f>IFERROR(__xludf.DUMMYFUNCTION("""COMPUTED_VALUE"""),"Adjunct, Tier I")</f>
        <v>Adjunct, Tier I</v>
      </c>
    </row>
    <row r="23">
      <c r="A23" s="2" t="str">
        <f>IFERROR(__xludf.DUMMYFUNCTION("""COMPUTED_VALUE"""),"Chiusano, Mark")</f>
        <v>Chiusano, Mark</v>
      </c>
      <c r="B23" s="2" t="str">
        <f>IFERROR(__xludf.DUMMYFUNCTION("""COMPUTED_VALUE"""),"chiusano@njit.edu")</f>
        <v>chiusano@njit.edu</v>
      </c>
      <c r="C23" s="2">
        <f>IFERROR(__xludf.DUMMYFUNCTION("""COMPUTED_VALUE"""),3.1486484E7)</f>
        <v>31486484</v>
      </c>
      <c r="D23" s="2" t="str">
        <f>IFERROR(__xludf.DUMMYFUNCTION("""COMPUTED_VALUE"""),"University Lecturer, Senior")</f>
        <v>University Lecturer, Senior</v>
      </c>
    </row>
    <row r="24">
      <c r="A24" s="2" t="str">
        <f>IFERROR(__xludf.DUMMYFUNCTION("""COMPUTED_VALUE"""),"Clarke, Dominique")</f>
        <v>Clarke, Dominique</v>
      </c>
      <c r="B24" s="2" t="str">
        <f>IFERROR(__xludf.DUMMYFUNCTION("""COMPUTED_VALUE"""),"clarke@njit.edu")</f>
        <v>clarke@njit.edu</v>
      </c>
      <c r="C24" s="2">
        <f>IFERROR(__xludf.DUMMYFUNCTION("""COMPUTED_VALUE"""),2.1288251E7)</f>
        <v>21288251</v>
      </c>
      <c r="D24" s="2" t="str">
        <f>IFERROR(__xludf.DUMMYFUNCTION("""COMPUTED_VALUE"""),"Adjunct, Tier I")</f>
        <v>Adjunct, Tier I</v>
      </c>
    </row>
    <row r="25">
      <c r="A25" s="2" t="str">
        <f>IFERROR(__xludf.DUMMYFUNCTION("""COMPUTED_VALUE"""),"Collins, Regina")</f>
        <v>Collins, Regina</v>
      </c>
      <c r="B25" s="2" t="str">
        <f>IFERROR(__xludf.DUMMYFUNCTION("""COMPUTED_VALUE"""),"rsb24@njit.edu")</f>
        <v>rsb24@njit.edu</v>
      </c>
      <c r="C25" s="2">
        <f>IFERROR(__xludf.DUMMYFUNCTION("""COMPUTED_VALUE"""),2.1284191E7)</f>
        <v>21284191</v>
      </c>
      <c r="D25" s="2" t="str">
        <f>IFERROR(__xludf.DUMMYFUNCTION("""COMPUTED_VALUE"""),"Adjunct, Tier II")</f>
        <v>Adjunct, Tier II</v>
      </c>
    </row>
    <row r="26">
      <c r="A26" s="2" t="str">
        <f>IFERROR(__xludf.DUMMYFUNCTION("""COMPUTED_VALUE"""),"Kellogg, Martin")</f>
        <v>Kellogg, Martin</v>
      </c>
      <c r="B26" s="2" t="str">
        <f>IFERROR(__xludf.DUMMYFUNCTION("""COMPUTED_VALUE"""),"mjk76@njit.edu")</f>
        <v>mjk76@njit.edu</v>
      </c>
      <c r="C26" s="2">
        <f>IFERROR(__xludf.DUMMYFUNCTION("""COMPUTED_VALUE"""),3.1616115E7)</f>
        <v>31616115</v>
      </c>
      <c r="D26" s="2" t="str">
        <f>IFERROR(__xludf.DUMMYFUNCTION("""COMPUTED_VALUE"""),"Professor, Assistant")</f>
        <v>Professor, Assistant</v>
      </c>
    </row>
    <row r="27">
      <c r="A27" s="2" t="str">
        <f>IFERROR(__xludf.DUMMYFUNCTION("""COMPUTED_VALUE"""),"Koutis, Ioannis")</f>
        <v>Koutis, Ioannis</v>
      </c>
      <c r="B27" s="2" t="str">
        <f>IFERROR(__xludf.DUMMYFUNCTION("""COMPUTED_VALUE"""),"ikoutis@njit.edu")</f>
        <v>ikoutis@njit.edu</v>
      </c>
      <c r="C27" s="2">
        <f>IFERROR(__xludf.DUMMYFUNCTION("""COMPUTED_VALUE"""),3.1457152E7)</f>
        <v>31457152</v>
      </c>
      <c r="D27" s="2" t="str">
        <f>IFERROR(__xludf.DUMMYFUNCTION("""COMPUTED_VALUE"""),"Professor, Associate")</f>
        <v>Professor, Associate</v>
      </c>
    </row>
    <row r="28">
      <c r="A28" s="2" t="str">
        <f>IFERROR(__xludf.DUMMYFUNCTION("""COMPUTED_VALUE"""),"Dale, Mohit")</f>
        <v>Dale, Mohit</v>
      </c>
      <c r="B28" s="2" t="str">
        <f>IFERROR(__xludf.DUMMYFUNCTION("""COMPUTED_VALUE"""),"md685@njit.edu")</f>
        <v>md685@njit.edu</v>
      </c>
      <c r="C28" s="2">
        <f>IFERROR(__xludf.DUMMYFUNCTION("""COMPUTED_VALUE"""),3.1552725E7)</f>
        <v>31552725</v>
      </c>
      <c r="D28" s="2" t="str">
        <f>IFERROR(__xludf.DUMMYFUNCTION("""COMPUTED_VALUE"""),"University Lecturer")</f>
        <v>University Lecturer</v>
      </c>
    </row>
    <row r="29">
      <c r="A29" s="2" t="str">
        <f>IFERROR(__xludf.DUMMYFUNCTION("""COMPUTED_VALUE"""),"Dang, Khang")</f>
        <v>Dang, Khang</v>
      </c>
      <c r="B29" s="2" t="str">
        <f>IFERROR(__xludf.DUMMYFUNCTION("""COMPUTED_VALUE"""),"khd3@njit.edu")</f>
        <v>khd3@njit.edu</v>
      </c>
      <c r="C29" s="2">
        <f>IFERROR(__xludf.DUMMYFUNCTION("""COMPUTED_VALUE"""),3.1546268E7)</f>
        <v>31546268</v>
      </c>
      <c r="D29" s="2" t="str">
        <f>IFERROR(__xludf.DUMMYFUNCTION("""COMPUTED_VALUE"""),"PhD student")</f>
        <v>PhD student</v>
      </c>
    </row>
    <row r="30">
      <c r="A30" s="2" t="str">
        <f>IFERROR(__xludf.DUMMYFUNCTION("""COMPUTED_VALUE"""),"Li, Jing")</f>
        <v>Li, Jing</v>
      </c>
      <c r="B30" s="2" t="str">
        <f>IFERROR(__xludf.DUMMYFUNCTION("""COMPUTED_VALUE"""),"jingli@njit.edu")</f>
        <v>jingli@njit.edu</v>
      </c>
      <c r="C30" s="2">
        <f>IFERROR(__xludf.DUMMYFUNCTION("""COMPUTED_VALUE"""),3.1451527E7)</f>
        <v>31451527</v>
      </c>
      <c r="D30" s="2" t="str">
        <f>IFERROR(__xludf.DUMMYFUNCTION("""COMPUTED_VALUE"""),"Professor, Associate")</f>
        <v>Professor, Associate</v>
      </c>
    </row>
    <row r="31">
      <c r="A31" s="2" t="str">
        <f>IFERROR(__xludf.DUMMYFUNCTION("""COMPUTED_VALUE"""),"Davalos, Amanda")</f>
        <v>Davalos, Amanda</v>
      </c>
      <c r="B31" s="2" t="str">
        <f>IFERROR(__xludf.DUMMYFUNCTION("""COMPUTED_VALUE"""),"apd7@njit.edu")</f>
        <v>apd7@njit.edu</v>
      </c>
      <c r="C31" s="2">
        <f>IFERROR(__xludf.DUMMYFUNCTION("""COMPUTED_VALUE"""),3.1566626E7)</f>
        <v>31566626</v>
      </c>
      <c r="D31" s="2" t="str">
        <f>IFERROR(__xludf.DUMMYFUNCTION("""COMPUTED_VALUE"""),"Adjunct, Tier I")</f>
        <v>Adjunct, Tier I</v>
      </c>
    </row>
    <row r="32">
      <c r="A32" s="2" t="str">
        <f>IFERROR(__xludf.DUMMYFUNCTION("""COMPUTED_VALUE"""),"Liu, Chengjun")</f>
        <v>Liu, Chengjun</v>
      </c>
      <c r="B32" s="2" t="str">
        <f>IFERROR(__xludf.DUMMYFUNCTION("""COMPUTED_VALUE"""),"cliu@njit.edu")</f>
        <v>cliu@njit.edu</v>
      </c>
      <c r="C32" s="2">
        <f>IFERROR(__xludf.DUMMYFUNCTION("""COMPUTED_VALUE"""),2.1368536E7)</f>
        <v>21368536</v>
      </c>
      <c r="D32" s="2" t="str">
        <f>IFERROR(__xludf.DUMMYFUNCTION("""COMPUTED_VALUE"""),"Professor")</f>
        <v>Professor</v>
      </c>
    </row>
    <row r="33">
      <c r="A33" s="2" t="str">
        <f>IFERROR(__xludf.DUMMYFUNCTION("""COMPUTED_VALUE"""),"Deek, Maura")</f>
        <v>Deek, Maura</v>
      </c>
      <c r="B33" s="2" t="str">
        <f>IFERROR(__xludf.DUMMYFUNCTION("""COMPUTED_VALUE"""),"deekm@njit.edu")</f>
        <v>deekm@njit.edu</v>
      </c>
      <c r="C33" s="2">
        <f>IFERROR(__xludf.DUMMYFUNCTION("""COMPUTED_VALUE"""),2.130053E7)</f>
        <v>21300530</v>
      </c>
      <c r="D33" s="2" t="str">
        <f>IFERROR(__xludf.DUMMYFUNCTION("""COMPUTED_VALUE"""),"University Lecturer, Senior")</f>
        <v>University Lecturer, Senior</v>
      </c>
    </row>
    <row r="34">
      <c r="A34" s="2" t="str">
        <f>IFERROR(__xludf.DUMMYFUNCTION("""COMPUTED_VALUE"""),"Mili, Ali")</f>
        <v>Mili, Ali</v>
      </c>
      <c r="B34" s="2" t="str">
        <f>IFERROR(__xludf.DUMMYFUNCTION("""COMPUTED_VALUE"""),"mili@njit.edu")</f>
        <v>mili@njit.edu</v>
      </c>
      <c r="C34" s="2">
        <f>IFERROR(__xludf.DUMMYFUNCTION("""COMPUTED_VALUE"""),2.1368701E7)</f>
        <v>21368701</v>
      </c>
      <c r="D34" s="2" t="str">
        <f>IFERROR(__xludf.DUMMYFUNCTION("""COMPUTED_VALUE"""),"Professor")</f>
        <v>Professor</v>
      </c>
    </row>
    <row r="35">
      <c r="A35" s="2" t="str">
        <f>IFERROR(__xludf.DUMMYFUNCTION("""COMPUTED_VALUE"""),"Musialski, Przemyslaw")</f>
        <v>Musialski, Przemyslaw</v>
      </c>
      <c r="B35" s="2" t="str">
        <f>IFERROR(__xludf.DUMMYFUNCTION("""COMPUTED_VALUE"""),"przem@njit.edu")</f>
        <v>przem@njit.edu</v>
      </c>
      <c r="C35" s="2">
        <f>IFERROR(__xludf.DUMMYFUNCTION("""COMPUTED_VALUE"""),3.1518291E7)</f>
        <v>31518291</v>
      </c>
      <c r="D35" s="2" t="str">
        <f>IFERROR(__xludf.DUMMYFUNCTION("""COMPUTED_VALUE"""),"Professor, Associate")</f>
        <v>Professor, Associate</v>
      </c>
    </row>
    <row r="36">
      <c r="A36" s="2" t="str">
        <f>IFERROR(__xludf.DUMMYFUNCTION("""COMPUTED_VALUE"""),"Egan, Frances")</f>
        <v>Egan, Frances</v>
      </c>
      <c r="B36" s="2" t="str">
        <f>IFERROR(__xludf.DUMMYFUNCTION("""COMPUTED_VALUE"""),"fegan@njit.edu")</f>
        <v>fegan@njit.edu</v>
      </c>
      <c r="C36" s="2">
        <f>IFERROR(__xludf.DUMMYFUNCTION("""COMPUTED_VALUE"""),3.1395948E7)</f>
        <v>31395948</v>
      </c>
      <c r="D36" s="2" t="str">
        <f>IFERROR(__xludf.DUMMYFUNCTION("""COMPUTED_VALUE"""),"Adjunct, Tier III")</f>
        <v>Adjunct, Tier III</v>
      </c>
    </row>
    <row r="37">
      <c r="A37" s="2" t="str">
        <f>IFERROR(__xludf.DUMMYFUNCTION("""COMPUTED_VALUE"""),"Egan, Richard")</f>
        <v>Egan, Richard</v>
      </c>
      <c r="B37" s="2" t="str">
        <f>IFERROR(__xludf.DUMMYFUNCTION("""COMPUTED_VALUE"""),"egan@njit.edu")</f>
        <v>egan@njit.edu</v>
      </c>
      <c r="C37" s="2">
        <f>IFERROR(__xludf.DUMMYFUNCTION("""COMPUTED_VALUE"""),2.1189529E7)</f>
        <v>21189529</v>
      </c>
      <c r="D37" s="2" t="str">
        <f>IFERROR(__xludf.DUMMYFUNCTION("""COMPUTED_VALUE"""),"University Lecturer, Senior")</f>
        <v>University Lecturer, Senior</v>
      </c>
    </row>
    <row r="38">
      <c r="A38" s="2" t="str">
        <f>IFERROR(__xludf.DUMMYFUNCTION("""COMPUTED_VALUE"""),"Eljabiri, Osama")</f>
        <v>Eljabiri, Osama</v>
      </c>
      <c r="B38" s="2" t="str">
        <f>IFERROR(__xludf.DUMMYFUNCTION("""COMPUTED_VALUE"""),"oe2@njit.edu")</f>
        <v>oe2@njit.edu</v>
      </c>
      <c r="C38" s="2">
        <f>IFERROR(__xludf.DUMMYFUNCTION("""COMPUTED_VALUE"""),2.1238545E7)</f>
        <v>21238545</v>
      </c>
      <c r="D38" s="2" t="str">
        <f>IFERROR(__xludf.DUMMYFUNCTION("""COMPUTED_VALUE"""),"University Lecturer, Senior")</f>
        <v>University Lecturer, Senior</v>
      </c>
    </row>
    <row r="39">
      <c r="A39" s="2" t="str">
        <f>IFERROR(__xludf.DUMMYFUNCTION("""COMPUTED_VALUE"""),"Eren, Canan")</f>
        <v>Eren, Canan</v>
      </c>
      <c r="B39" s="2" t="str">
        <f>IFERROR(__xludf.DUMMYFUNCTION("""COMPUTED_VALUE"""),"ce85@njit.edu")</f>
        <v>ce85@njit.edu</v>
      </c>
      <c r="C39" s="2">
        <f>IFERROR(__xludf.DUMMYFUNCTION("""COMPUTED_VALUE"""),2.1190594E7)</f>
        <v>21190594</v>
      </c>
      <c r="D39" s="2" t="str">
        <f>IFERROR(__xludf.DUMMYFUNCTION("""COMPUTED_VALUE"""),"University Lecturer, Senior")</f>
        <v>University Lecturer, Senior</v>
      </c>
    </row>
    <row r="40">
      <c r="A40" s="2" t="str">
        <f>IFERROR(__xludf.DUMMYFUNCTION("""COMPUTED_VALUE"""),"Eskandari, Marzieh")</f>
        <v>Eskandari, Marzieh</v>
      </c>
      <c r="B40" s="2" t="str">
        <f>IFERROR(__xludf.DUMMYFUNCTION("""COMPUTED_VALUE"""),"me374@njit.edu")</f>
        <v>me374@njit.edu</v>
      </c>
      <c r="C40" s="2">
        <f>IFERROR(__xludf.DUMMYFUNCTION("""COMPUTED_VALUE"""),3.1594441E7)</f>
        <v>31594441</v>
      </c>
      <c r="D40" s="2" t="str">
        <f>IFERROR(__xludf.DUMMYFUNCTION("""COMPUTED_VALUE"""),"University Lecturer, Senior")</f>
        <v>University Lecturer, Senior</v>
      </c>
    </row>
    <row r="41">
      <c r="A41" s="2" t="str">
        <f>IFERROR(__xludf.DUMMYFUNCTION("""COMPUTED_VALUE"""),"Estes, Michael")</f>
        <v>Estes, Michael</v>
      </c>
      <c r="B41" s="2" t="str">
        <f>IFERROR(__xludf.DUMMYFUNCTION("""COMPUTED_VALUE"""),"mestes@njit.edu")</f>
        <v>mestes@njit.edu</v>
      </c>
      <c r="C41" s="2">
        <f>IFERROR(__xludf.DUMMYFUNCTION("""COMPUTED_VALUE"""),3.150288E7)</f>
        <v>31502880</v>
      </c>
      <c r="D41" s="2" t="str">
        <f>IFERROR(__xludf.DUMMYFUNCTION("""COMPUTED_VALUE"""),"Adjunct, Tier II")</f>
        <v>Adjunct, Tier II</v>
      </c>
    </row>
    <row r="42">
      <c r="A42" s="2" t="str">
        <f>IFERROR(__xludf.DUMMYFUNCTION("""COMPUTED_VALUE"""),"Farley, Jennifer")</f>
        <v>Farley, Jennifer</v>
      </c>
      <c r="B42" s="2" t="str">
        <f>IFERROR(__xludf.DUMMYFUNCTION("""COMPUTED_VALUE"""),"jef@njit.edu")</f>
        <v>jef@njit.edu</v>
      </c>
      <c r="C42" s="2">
        <f>IFERROR(__xludf.DUMMYFUNCTION("""COMPUTED_VALUE"""),3.1421259E7)</f>
        <v>31421259</v>
      </c>
      <c r="D42" s="2" t="str">
        <f>IFERROR(__xludf.DUMMYFUNCTION("""COMPUTED_VALUE"""),"University Lecturer")</f>
        <v>University Lecturer</v>
      </c>
    </row>
    <row r="43">
      <c r="A43" s="2" t="str">
        <f>IFERROR(__xludf.DUMMYFUNCTION("""COMPUTED_VALUE"""),"Garcia, Andrew")</f>
        <v>Garcia, Andrew</v>
      </c>
      <c r="B43" s="2" t="str">
        <f>IFERROR(__xludf.DUMMYFUNCTION("""COMPUTED_VALUE"""),"agarcia@njit.edu")</f>
        <v>agarcia@njit.edu</v>
      </c>
      <c r="C43" s="2">
        <f>IFERROR(__xludf.DUMMYFUNCTION("""COMPUTED_VALUE"""),2.1376366E7)</f>
        <v>21376366</v>
      </c>
      <c r="D43" s="2" t="str">
        <f>IFERROR(__xludf.DUMMYFUNCTION("""COMPUTED_VALUE"""),"Adjunct, Tier III")</f>
        <v>Adjunct, Tier III</v>
      </c>
    </row>
    <row r="44">
      <c r="A44" s="2" t="str">
        <f>IFERROR(__xludf.DUMMYFUNCTION("""COMPUTED_VALUE"""),"Nakayama, Marvin")</f>
        <v>Nakayama, Marvin</v>
      </c>
      <c r="B44" s="2" t="str">
        <f>IFERROR(__xludf.DUMMYFUNCTION("""COMPUTED_VALUE"""),"marvin@njit.edu")</f>
        <v>marvin@njit.edu</v>
      </c>
      <c r="C44" s="2">
        <f>IFERROR(__xludf.DUMMYFUNCTION("""COMPUTED_VALUE"""),2.1368967E7)</f>
        <v>21368967</v>
      </c>
      <c r="D44" s="2" t="str">
        <f>IFERROR(__xludf.DUMMYFUNCTION("""COMPUTED_VALUE"""),"Professor")</f>
        <v>Professor</v>
      </c>
    </row>
    <row r="45">
      <c r="A45" s="2" t="str">
        <f>IFERROR(__xludf.DUMMYFUNCTION("""COMPUTED_VALUE"""),"Nassimi, David")</f>
        <v>Nassimi, David</v>
      </c>
      <c r="B45" s="2" t="str">
        <f>IFERROR(__xludf.DUMMYFUNCTION("""COMPUTED_VALUE"""),"nassimi@njit.edu")</f>
        <v>nassimi@njit.edu</v>
      </c>
      <c r="C45" s="2">
        <f>IFERROR(__xludf.DUMMYFUNCTION("""COMPUTED_VALUE"""),2.1368853E7)</f>
        <v>21368853</v>
      </c>
      <c r="D45" s="2" t="str">
        <f>IFERROR(__xludf.DUMMYFUNCTION("""COMPUTED_VALUE"""),"Professor, Associate")</f>
        <v>Professor, Associate</v>
      </c>
    </row>
    <row r="46">
      <c r="A46" s="2" t="str">
        <f>IFERROR(__xludf.DUMMYFUNCTION("""COMPUTED_VALUE"""),"Giannoglou, Karl")</f>
        <v>Giannoglou, Karl</v>
      </c>
      <c r="B46" s="2" t="str">
        <f>IFERROR(__xludf.DUMMYFUNCTION("""COMPUTED_VALUE"""),"kg338@njit.edu")</f>
        <v>kg338@njit.edu</v>
      </c>
      <c r="C46" s="2">
        <f>IFERROR(__xludf.DUMMYFUNCTION("""COMPUTED_VALUE"""),3.1391646E7)</f>
        <v>31391646</v>
      </c>
      <c r="D46" s="2" t="str">
        <f>IFERROR(__xludf.DUMMYFUNCTION("""COMPUTED_VALUE"""),"University Lecturer")</f>
        <v>University Lecturer</v>
      </c>
    </row>
    <row r="47">
      <c r="A47" s="2" t="str">
        <f>IFERROR(__xludf.DUMMYFUNCTION("""COMPUTED_VALUE"""),"Grayson, Tanisha")</f>
        <v>Grayson, Tanisha</v>
      </c>
      <c r="B47" s="2" t="str">
        <f>IFERROR(__xludf.DUMMYFUNCTION("""COMPUTED_VALUE"""),"tgrayson@njit.edu")</f>
        <v>tgrayson@njit.edu</v>
      </c>
      <c r="C47" s="2">
        <f>IFERROR(__xludf.DUMMYFUNCTION("""COMPUTED_VALUE"""),3.147268E7)</f>
        <v>31472680</v>
      </c>
      <c r="D47" s="2" t="str">
        <f>IFERROR(__xludf.DUMMYFUNCTION("""COMPUTED_VALUE"""),"Adjunct, Tier II")</f>
        <v>Adjunct, Tier II</v>
      </c>
    </row>
    <row r="48">
      <c r="A48" s="2" t="str">
        <f>IFERROR(__xludf.DUMMYFUNCTION("""COMPUTED_VALUE"""),"Neamtiu, Iulian")</f>
        <v>Neamtiu, Iulian</v>
      </c>
      <c r="B48" s="2" t="str">
        <f>IFERROR(__xludf.DUMMYFUNCTION("""COMPUTED_VALUE"""),"ineamtiu@njit.edu")</f>
        <v>ineamtiu@njit.edu</v>
      </c>
      <c r="C48" s="2">
        <f>IFERROR(__xludf.DUMMYFUNCTION("""COMPUTED_VALUE"""),3.1381698E7)</f>
        <v>31381698</v>
      </c>
      <c r="D48" s="2" t="str">
        <f>IFERROR(__xludf.DUMMYFUNCTION("""COMPUTED_VALUE"""),"Professor")</f>
        <v>Professor</v>
      </c>
    </row>
    <row r="49">
      <c r="A49" s="2" t="str">
        <f>IFERROR(__xludf.DUMMYFUNCTION("""COMPUTED_VALUE"""),"Hamidli, Fuad")</f>
        <v>Hamidli, Fuad</v>
      </c>
      <c r="B49" s="2" t="str">
        <f>IFERROR(__xludf.DUMMYFUNCTION("""COMPUTED_VALUE"""),"fh224@njit.edu")</f>
        <v>fh224@njit.edu</v>
      </c>
      <c r="C49" s="2">
        <f>IFERROR(__xludf.DUMMYFUNCTION("""COMPUTED_VALUE"""),3.1571277E7)</f>
        <v>31571277</v>
      </c>
      <c r="D49" s="2" t="str">
        <f>IFERROR(__xludf.DUMMYFUNCTION("""COMPUTED_VALUE"""),"University Lecturer")</f>
        <v>University Lecturer</v>
      </c>
    </row>
    <row r="50">
      <c r="A50" s="2" t="str">
        <f>IFERROR(__xludf.DUMMYFUNCTION("""COMPUTED_VALUE"""),"Haroon, Aamir")</f>
        <v>Haroon, Aamir</v>
      </c>
      <c r="B50" s="2" t="str">
        <f>IFERROR(__xludf.DUMMYFUNCTION("""COMPUTED_VALUE"""),"ah874@njit.edu")</f>
        <v>ah874@njit.edu</v>
      </c>
      <c r="C50" s="2">
        <f>IFERROR(__xludf.DUMMYFUNCTION("""COMPUTED_VALUE"""),3.1672604E7)</f>
        <v>31672604</v>
      </c>
      <c r="D50" s="2" t="str">
        <f>IFERROR(__xludf.DUMMYFUNCTION("""COMPUTED_VALUE"""),"Adjunct, Tier I")</f>
        <v>Adjunct, Tier I</v>
      </c>
    </row>
    <row r="51">
      <c r="A51" s="2" t="str">
        <f>IFERROR(__xludf.DUMMYFUNCTION("""COMPUTED_VALUE"""),"Haroon, Tanweer")</f>
        <v>Haroon, Tanweer</v>
      </c>
      <c r="B51" s="2" t="str">
        <f>IFERROR(__xludf.DUMMYFUNCTION("""COMPUTED_VALUE"""),"haroon@njit.edu")</f>
        <v>haroon@njit.edu</v>
      </c>
      <c r="C51" s="2">
        <f>IFERROR(__xludf.DUMMYFUNCTION("""COMPUTED_VALUE"""),3.1363227E7)</f>
        <v>31363227</v>
      </c>
      <c r="D51" s="2" t="str">
        <f>IFERROR(__xludf.DUMMYFUNCTION("""COMPUTED_VALUE"""),"Adjunct, Tier III")</f>
        <v>Adjunct, Tier III</v>
      </c>
    </row>
    <row r="52">
      <c r="A52" s="2" t="str">
        <f>IFERROR(__xludf.DUMMYFUNCTION("""COMPUTED_VALUE"""),"Hendela, Arthur")</f>
        <v>Hendela, Arthur</v>
      </c>
      <c r="B52" s="2" t="str">
        <f>IFERROR(__xludf.DUMMYFUNCTION("""COMPUTED_VALUE"""),"ahh2@njit.edu")</f>
        <v>ahh2@njit.edu</v>
      </c>
      <c r="C52" s="2">
        <f>IFERROR(__xludf.DUMMYFUNCTION("""COMPUTED_VALUE"""),2.1288169E7)</f>
        <v>21288169</v>
      </c>
      <c r="D52" s="2" t="str">
        <f>IFERROR(__xludf.DUMMYFUNCTION("""COMPUTED_VALUE"""),"University Lecturer, Senior")</f>
        <v>University Lecturer, Senior</v>
      </c>
    </row>
    <row r="53">
      <c r="A53" s="2" t="str">
        <f>IFERROR(__xludf.DUMMYFUNCTION("""COMPUTED_VALUE"""),"Hennessey, Casey")</f>
        <v>Hennessey, Casey</v>
      </c>
      <c r="B53" s="2" t="str">
        <f>IFERROR(__xludf.DUMMYFUNCTION("""COMPUTED_VALUE"""),"chenness@njit.edu")</f>
        <v>chenness@njit.edu</v>
      </c>
      <c r="C53" s="2">
        <f>IFERROR(__xludf.DUMMYFUNCTION("""COMPUTED_VALUE"""),3.1160678E7)</f>
        <v>31160678</v>
      </c>
      <c r="D53" s="2" t="str">
        <f>IFERROR(__xludf.DUMMYFUNCTION("""COMPUTED_VALUE"""),"Adjunct, Tier I")</f>
        <v>Adjunct, Tier I</v>
      </c>
    </row>
    <row r="54">
      <c r="A54" s="2" t="str">
        <f>IFERROR(__xludf.DUMMYFUNCTION("""COMPUTED_VALUE"""),"Oria, Vincent")</f>
        <v>Oria, Vincent</v>
      </c>
      <c r="B54" s="2" t="str">
        <f>IFERROR(__xludf.DUMMYFUNCTION("""COMPUTED_VALUE"""),"oria@njit.edu")</f>
        <v>oria@njit.edu</v>
      </c>
      <c r="C54" s="2">
        <f>IFERROR(__xludf.DUMMYFUNCTION("""COMPUTED_VALUE"""),2.1368166E7)</f>
        <v>21368166</v>
      </c>
      <c r="D54" s="2" t="str">
        <f>IFERROR(__xludf.DUMMYFUNCTION("""COMPUTED_VALUE"""),"Professor")</f>
        <v>Professor</v>
      </c>
    </row>
    <row r="55">
      <c r="A55" s="2" t="str">
        <f>IFERROR(__xludf.DUMMYFUNCTION("""COMPUTED_VALUE"""),"Houle, Michael")</f>
        <v>Houle, Michael</v>
      </c>
      <c r="B55" s="2" t="str">
        <f>IFERROR(__xludf.DUMMYFUNCTION("""COMPUTED_VALUE"""),"meh43@njit.edu")</f>
        <v>meh43@njit.edu</v>
      </c>
      <c r="C55" s="2">
        <f>IFERROR(__xludf.DUMMYFUNCTION("""COMPUTED_VALUE"""),3.1635611E7)</f>
        <v>31635611</v>
      </c>
      <c r="D55" s="2" t="str">
        <f>IFERROR(__xludf.DUMMYFUNCTION("""COMPUTED_VALUE"""),"University Lecturer, Senior")</f>
        <v>University Lecturer, Senior</v>
      </c>
    </row>
    <row r="56">
      <c r="A56" s="2" t="str">
        <f>IFERROR(__xludf.DUMMYFUNCTION("""COMPUTED_VALUE"""),"Hsu, Donald")</f>
        <v>Hsu, Donald</v>
      </c>
      <c r="B56" s="2" t="str">
        <f>IFERROR(__xludf.DUMMYFUNCTION("""COMPUTED_VALUE"""),"yanyou7@njit.edu")</f>
        <v>yanyou7@njit.edu</v>
      </c>
      <c r="C56" s="2">
        <f>IFERROR(__xludf.DUMMYFUNCTION("""COMPUTED_VALUE"""),3.1372307E7)</f>
        <v>31372307</v>
      </c>
      <c r="D56" s="2" t="str">
        <f>IFERROR(__xludf.DUMMYFUNCTION("""COMPUTED_VALUE"""),"Adjunct, Tier III")</f>
        <v>Adjunct, Tier III</v>
      </c>
    </row>
    <row r="57">
      <c r="A57" s="2" t="str">
        <f>IFERROR(__xludf.DUMMYFUNCTION("""COMPUTED_VALUE"""),"Ionescu, Adrian")</f>
        <v>Ionescu, Adrian</v>
      </c>
      <c r="B57" s="2" t="str">
        <f>IFERROR(__xludf.DUMMYFUNCTION("""COMPUTED_VALUE"""),"ionescu@njit.edu")</f>
        <v>ionescu@njit.edu</v>
      </c>
      <c r="C57" s="2">
        <f>IFERROR(__xludf.DUMMYFUNCTION("""COMPUTED_VALUE"""),2.1561476E7)</f>
        <v>21561476</v>
      </c>
      <c r="D57" s="2" t="str">
        <f>IFERROR(__xludf.DUMMYFUNCTION("""COMPUTED_VALUE"""),"Adjunct, Tier III")</f>
        <v>Adjunct, Tier III</v>
      </c>
    </row>
    <row r="58">
      <c r="A58" s="2" t="str">
        <f>IFERROR(__xludf.DUMMYFUNCTION("""COMPUTED_VALUE"""),"Islam, Akm")</f>
        <v>Islam, Akm</v>
      </c>
      <c r="B58" s="2" t="str">
        <f>IFERROR(__xludf.DUMMYFUNCTION("""COMPUTED_VALUE"""),"azi3@njit.edu")</f>
        <v>azi3@njit.edu</v>
      </c>
      <c r="C58" s="2">
        <f>IFERROR(__xludf.DUMMYFUNCTION("""COMPUTED_VALUE"""),3.1443527E7)</f>
        <v>31443527</v>
      </c>
      <c r="D58" s="2" t="str">
        <f>IFERROR(__xludf.DUMMYFUNCTION("""COMPUTED_VALUE"""),"University Lecturer")</f>
        <v>University Lecturer</v>
      </c>
    </row>
    <row r="59">
      <c r="A59" s="2" t="str">
        <f>IFERROR(__xludf.DUMMYFUNCTION("""COMPUTED_VALUE"""),"Itani, Abdul-Rahman")</f>
        <v>Itani, Abdul-Rahman</v>
      </c>
      <c r="B59" s="2" t="str">
        <f>IFERROR(__xludf.DUMMYFUNCTION("""COMPUTED_VALUE"""),"itani@njit.edu")</f>
        <v>itani@njit.edu</v>
      </c>
      <c r="C59" s="2">
        <f>IFERROR(__xludf.DUMMYFUNCTION("""COMPUTED_VALUE"""),3.1456296E7)</f>
        <v>31456296</v>
      </c>
      <c r="D59" s="2" t="str">
        <f>IFERROR(__xludf.DUMMYFUNCTION("""COMPUTED_VALUE"""),"University Lecturer, Senior")</f>
        <v>University Lecturer, Senior</v>
      </c>
    </row>
    <row r="60">
      <c r="A60" s="2" t="str">
        <f>IFERROR(__xludf.DUMMYFUNCTION("""COMPUTED_VALUE"""),"Perl, Yehoshua")</f>
        <v>Perl, Yehoshua</v>
      </c>
      <c r="B60" s="2" t="str">
        <f>IFERROR(__xludf.DUMMYFUNCTION("""COMPUTED_VALUE"""),"perl@njit.edu")</f>
        <v>perl@njit.edu</v>
      </c>
      <c r="C60" s="2">
        <f>IFERROR(__xludf.DUMMYFUNCTION("""COMPUTED_VALUE"""),2.1368713E7)</f>
        <v>21368713</v>
      </c>
      <c r="D60" s="2" t="str">
        <f>IFERROR(__xludf.DUMMYFUNCTION("""COMPUTED_VALUE"""),"Professor")</f>
        <v>Professor</v>
      </c>
    </row>
    <row r="61">
      <c r="A61" s="2" t="str">
        <f>IFERROR(__xludf.DUMMYFUNCTION("""COMPUTED_VALUE"""),"Joshi, Digant")</f>
        <v>Joshi, Digant</v>
      </c>
      <c r="B61" s="2" t="str">
        <f>IFERROR(__xludf.DUMMYFUNCTION("""COMPUTED_VALUE"""),"djoshi@njit.edu")</f>
        <v>djoshi@njit.edu</v>
      </c>
      <c r="C61" s="2">
        <f>IFERROR(__xludf.DUMMYFUNCTION("""COMPUTED_VALUE"""),2.1135444E7)</f>
        <v>21135444</v>
      </c>
      <c r="D61" s="2" t="str">
        <f>IFERROR(__xludf.DUMMYFUNCTION("""COMPUTED_VALUE"""),"Adjunct, Tier I")</f>
        <v>Adjunct, Tier I</v>
      </c>
    </row>
    <row r="62">
      <c r="A62" s="2" t="str">
        <f>IFERROR(__xludf.DUMMYFUNCTION("""COMPUTED_VALUE"""),"Kaplan, Mehmet")</f>
        <v>Kaplan, Mehmet</v>
      </c>
      <c r="B62" s="2" t="str">
        <f>IFERROR(__xludf.DUMMYFUNCTION("""COMPUTED_VALUE"""),"mkaplan@njit.edu")</f>
        <v>mkaplan@njit.edu</v>
      </c>
      <c r="C62" s="2">
        <f>IFERROR(__xludf.DUMMYFUNCTION("""COMPUTED_VALUE"""),3.1516172E7)</f>
        <v>31516172</v>
      </c>
      <c r="D62" s="2" t="str">
        <f>IFERROR(__xludf.DUMMYFUNCTION("""COMPUTED_VALUE"""),"Adjunct, Tier I")</f>
        <v>Adjunct, Tier I</v>
      </c>
    </row>
    <row r="63">
      <c r="A63" s="2" t="str">
        <f>IFERROR(__xludf.DUMMYFUNCTION("""COMPUTED_VALUE"""),"Kapleau, Jonathan")</f>
        <v>Kapleau, Jonathan</v>
      </c>
      <c r="B63" s="2" t="str">
        <f>IFERROR(__xludf.DUMMYFUNCTION("""COMPUTED_VALUE"""),"kapleau@njit.edu")</f>
        <v>kapleau@njit.edu</v>
      </c>
      <c r="C63" s="2">
        <f>IFERROR(__xludf.DUMMYFUNCTION("""COMPUTED_VALUE"""),2.1214776E7)</f>
        <v>21214776</v>
      </c>
      <c r="D63" s="2" t="str">
        <f>IFERROR(__xludf.DUMMYFUNCTION("""COMPUTED_VALUE"""),"University Lecturer")</f>
        <v>University Lecturer</v>
      </c>
    </row>
    <row r="64">
      <c r="A64" s="2" t="str">
        <f>IFERROR(__xludf.DUMMYFUNCTION("""COMPUTED_VALUE"""),"Kapoor, Ruby")</f>
        <v>Kapoor, Ruby</v>
      </c>
      <c r="B64" s="2" t="str">
        <f>IFERROR(__xludf.DUMMYFUNCTION("""COMPUTED_VALUE"""),"rk28@njit.edu")</f>
        <v>rk28@njit.edu</v>
      </c>
      <c r="C64" s="2">
        <f>IFERROR(__xludf.DUMMYFUNCTION("""COMPUTED_VALUE"""),3.1500751E7)</f>
        <v>31500751</v>
      </c>
      <c r="D64" s="2" t="str">
        <f>IFERROR(__xludf.DUMMYFUNCTION("""COMPUTED_VALUE"""),"Adjunct, Tier I")</f>
        <v>Adjunct, Tier I</v>
      </c>
    </row>
    <row r="65">
      <c r="A65" s="2" t="str">
        <f>IFERROR(__xludf.DUMMYFUNCTION("""COMPUTED_VALUE"""),"Kaur, Arashdeep")</f>
        <v>Kaur, Arashdeep</v>
      </c>
      <c r="B65" s="2" t="str">
        <f>IFERROR(__xludf.DUMMYFUNCTION("""COMPUTED_VALUE"""),"ak3257@njit.edu")</f>
        <v>ak3257@njit.edu</v>
      </c>
      <c r="C65" s="2">
        <f>IFERROR(__xludf.DUMMYFUNCTION("""COMPUTED_VALUE"""),3.1669255E7)</f>
        <v>31669255</v>
      </c>
      <c r="D65" s="2" t="str">
        <f>IFERROR(__xludf.DUMMYFUNCTION("""COMPUTED_VALUE"""),"University Lecturer, Senior")</f>
        <v>University Lecturer, Senior</v>
      </c>
    </row>
    <row r="66">
      <c r="A66" s="2" t="str">
        <f>IFERROR(__xludf.DUMMYFUNCTION("""COMPUTED_VALUE"""),"Kaur, Ravneet")</f>
        <v>Kaur, Ravneet</v>
      </c>
      <c r="B66" s="2" t="str">
        <f>IFERROR(__xludf.DUMMYFUNCTION("""COMPUTED_VALUE"""),"rk956@njit.edu")</f>
        <v>rk956@njit.edu</v>
      </c>
      <c r="C66" s="2">
        <f>IFERROR(__xludf.DUMMYFUNCTION("""COMPUTED_VALUE"""),3.1671137E7)</f>
        <v>31671137</v>
      </c>
      <c r="D66" s="2" t="str">
        <f>IFERROR(__xludf.DUMMYFUNCTION("""COMPUTED_VALUE"""),"University Lecturer")</f>
        <v>University Lecturer</v>
      </c>
    </row>
    <row r="67">
      <c r="A67" s="2" t="str">
        <f>IFERROR(__xludf.DUMMYFUNCTION("""COMPUTED_VALUE"""),"Kehoe, Donald")</f>
        <v>Kehoe, Donald</v>
      </c>
      <c r="B67" s="2" t="str">
        <f>IFERROR(__xludf.DUMMYFUNCTION("""COMPUTED_VALUE"""),"kehoed@njit.edu")</f>
        <v>kehoed@njit.edu</v>
      </c>
      <c r="C67" s="2">
        <f>IFERROR(__xludf.DUMMYFUNCTION("""COMPUTED_VALUE"""),2.1220909E7)</f>
        <v>21220909</v>
      </c>
      <c r="D67" s="2" t="str">
        <f>IFERROR(__xludf.DUMMYFUNCTION("""COMPUTED_VALUE"""),"University Lecturer, Senior")</f>
        <v>University Lecturer, Senior</v>
      </c>
    </row>
    <row r="68">
      <c r="A68" s="2" t="str">
        <f>IFERROR(__xludf.DUMMYFUNCTION("""COMPUTED_VALUE"""),"Rohloff, Kurt")</f>
        <v>Rohloff, Kurt</v>
      </c>
      <c r="B68" s="2" t="str">
        <f>IFERROR(__xludf.DUMMYFUNCTION("""COMPUTED_VALUE"""),"rohloff@njit.edu")</f>
        <v>rohloff@njit.edu</v>
      </c>
      <c r="C68" s="2">
        <f>IFERROR(__xludf.DUMMYFUNCTION("""COMPUTED_VALUE"""),3.1351E7)</f>
        <v>31351000</v>
      </c>
      <c r="D68" s="2" t="str">
        <f>IFERROR(__xludf.DUMMYFUNCTION("""COMPUTED_VALUE"""),"Professor, Associate")</f>
        <v>Professor, Associate</v>
      </c>
    </row>
    <row r="69">
      <c r="A69" s="2" t="str">
        <f>IFERROR(__xludf.DUMMYFUNCTION("""COMPUTED_VALUE"""),"Khatwani, Naren")</f>
        <v>Khatwani, Naren</v>
      </c>
      <c r="B69" s="2" t="str">
        <f>IFERROR(__xludf.DUMMYFUNCTION("""COMPUTED_VALUE"""),"nk88@njit.edu")</f>
        <v>nk88@njit.edu</v>
      </c>
      <c r="C69" s="2">
        <f>IFERROR(__xludf.DUMMYFUNCTION("""COMPUTED_VALUE"""),3.1553911E7)</f>
        <v>31553911</v>
      </c>
      <c r="D69" s="2" t="str">
        <f>IFERROR(__xludf.DUMMYFUNCTION("""COMPUTED_VALUE"""),"PhD student")</f>
        <v>PhD student</v>
      </c>
    </row>
    <row r="70">
      <c r="A70" s="2" t="str">
        <f>IFERROR(__xludf.DUMMYFUNCTION("""COMPUTED_VALUE"""),"Kirova, Vassilka")</f>
        <v>Kirova, Vassilka</v>
      </c>
      <c r="B70" s="2" t="str">
        <f>IFERROR(__xludf.DUMMYFUNCTION("""COMPUTED_VALUE"""),"kirova@njit.edu")</f>
        <v>kirova@njit.edu</v>
      </c>
      <c r="C70" s="2">
        <f>IFERROR(__xludf.DUMMYFUNCTION("""COMPUTED_VALUE"""),2.122563E7)</f>
        <v>21225630</v>
      </c>
      <c r="D70" s="2" t="str">
        <f>IFERROR(__xludf.DUMMYFUNCTION("""COMPUTED_VALUE"""),"Adjunct, Tier III")</f>
        <v>Adjunct, Tier III</v>
      </c>
    </row>
    <row r="71">
      <c r="A71" s="2" t="str">
        <f>IFERROR(__xludf.DUMMYFUNCTION("""COMPUTED_VALUE"""),"Koblentz, Evan")</f>
        <v>Koblentz, Evan</v>
      </c>
      <c r="B71" s="2" t="str">
        <f>IFERROR(__xludf.DUMMYFUNCTION("""COMPUTED_VALUE"""),"evank@njit.edu")</f>
        <v>evank@njit.edu</v>
      </c>
      <c r="C71" s="2">
        <f>IFERROR(__xludf.DUMMYFUNCTION("""COMPUTED_VALUE"""),3.1517833E7)</f>
        <v>31517833</v>
      </c>
      <c r="D71" s="2" t="str">
        <f>IFERROR(__xludf.DUMMYFUNCTION("""COMPUTED_VALUE"""),"Adjunct, Tier I")</f>
        <v>Adjunct, Tier I</v>
      </c>
    </row>
    <row r="72">
      <c r="A72" s="2" t="str">
        <f>IFERROR(__xludf.DUMMYFUNCTION("""COMPUTED_VALUE"""),"Schieber, Baruch")</f>
        <v>Schieber, Baruch</v>
      </c>
      <c r="B72" s="2" t="str">
        <f>IFERROR(__xludf.DUMMYFUNCTION("""COMPUTED_VALUE"""),"sbar@njit.edu")</f>
        <v>sbar@njit.edu</v>
      </c>
      <c r="C72" s="2">
        <f>IFERROR(__xludf.DUMMYFUNCTION("""COMPUTED_VALUE"""),3.1486346E7)</f>
        <v>31486346</v>
      </c>
      <c r="D72" s="2" t="str">
        <f>IFERROR(__xludf.DUMMYFUNCTION("""COMPUTED_VALUE"""),"Professor")</f>
        <v>Professor</v>
      </c>
    </row>
    <row r="73">
      <c r="A73" s="2" t="str">
        <f>IFERROR(__xludf.DUMMYFUNCTION("""COMPUTED_VALUE"""),"Kumar, Suresh")</f>
        <v>Kumar, Suresh</v>
      </c>
      <c r="B73" s="2" t="str">
        <f>IFERROR(__xludf.DUMMYFUNCTION("""COMPUTED_VALUE"""),"skumar@njit.edu")</f>
        <v>skumar@njit.edu</v>
      </c>
      <c r="C73" s="2">
        <f>IFERROR(__xludf.DUMMYFUNCTION("""COMPUTED_VALUE"""),3.1481775E7)</f>
        <v>31481775</v>
      </c>
      <c r="D73" s="2" t="str">
        <f>IFERROR(__xludf.DUMMYFUNCTION("""COMPUTED_VALUE"""),"University Lecturer, Senior")</f>
        <v>University Lecturer, Senior</v>
      </c>
    </row>
    <row r="74">
      <c r="A74" s="2" t="str">
        <f>IFERROR(__xludf.DUMMYFUNCTION("""COMPUTED_VALUE"""),"Lay, Larry")</f>
        <v>Lay, Larry</v>
      </c>
      <c r="B74" s="2" t="str">
        <f>IFERROR(__xludf.DUMMYFUNCTION("""COMPUTED_VALUE"""),"lay@njit.edu")</f>
        <v>lay@njit.edu</v>
      </c>
      <c r="C74" s="2">
        <f>IFERROR(__xludf.DUMMYFUNCTION("""COMPUTED_VALUE"""),2.1295102E7)</f>
        <v>21295102</v>
      </c>
      <c r="D74" s="2" t="str">
        <f>IFERROR(__xludf.DUMMYFUNCTION("""COMPUTED_VALUE"""),"Professor of Practice")</f>
        <v>Professor of Practice</v>
      </c>
    </row>
    <row r="75">
      <c r="A75" s="2" t="str">
        <f>IFERROR(__xludf.DUMMYFUNCTION("""COMPUTED_VALUE"""),"Le, Huong")</f>
        <v>Le, Huong</v>
      </c>
      <c r="B75" s="2" t="str">
        <f>IFERROR(__xludf.DUMMYFUNCTION("""COMPUTED_VALUE"""),"hyl4@njit.edu")</f>
        <v>hyl4@njit.edu</v>
      </c>
      <c r="C75" s="2">
        <f>IFERROR(__xludf.DUMMYFUNCTION("""COMPUTED_VALUE"""),3.1341697E7)</f>
        <v>31341697</v>
      </c>
      <c r="D75" s="2" t="str">
        <f>IFERROR(__xludf.DUMMYFUNCTION("""COMPUTED_VALUE"""),"University Lecturer")</f>
        <v>University Lecturer</v>
      </c>
    </row>
    <row r="76">
      <c r="A76" s="2" t="str">
        <f>IFERROR(__xludf.DUMMYFUNCTION("""COMPUTED_VALUE"""),"Sharma, Shantanu")</f>
        <v>Sharma, Shantanu</v>
      </c>
      <c r="B76" s="2" t="str">
        <f>IFERROR(__xludf.DUMMYFUNCTION("""COMPUTED_VALUE"""),"ss797@njit.edu")</f>
        <v>ss797@njit.edu</v>
      </c>
      <c r="C76" s="2">
        <f>IFERROR(__xludf.DUMMYFUNCTION("""COMPUTED_VALUE"""),3.1568731E7)</f>
        <v>31568731</v>
      </c>
      <c r="D76" s="2" t="str">
        <f>IFERROR(__xludf.DUMMYFUNCTION("""COMPUTED_VALUE"""),"Professor, Assistant")</f>
        <v>Professor, Assistant</v>
      </c>
    </row>
    <row r="77">
      <c r="A77" s="2" t="str">
        <f>IFERROR(__xludf.DUMMYFUNCTION("""COMPUTED_VALUE"""),"Shi, Cong")</f>
        <v>Shi, Cong</v>
      </c>
      <c r="B77" s="2" t="str">
        <f>IFERROR(__xludf.DUMMYFUNCTION("""COMPUTED_VALUE"""),"cs638@njit.edu")</f>
        <v>cs638@njit.edu</v>
      </c>
      <c r="C77" s="2">
        <f>IFERROR(__xludf.DUMMYFUNCTION("""COMPUTED_VALUE"""),3.1611002E7)</f>
        <v>31611002</v>
      </c>
      <c r="D77" s="2" t="str">
        <f>IFERROR(__xludf.DUMMYFUNCTION("""COMPUTED_VALUE"""),"Professor, Assistant")</f>
        <v>Professor, Assistant</v>
      </c>
    </row>
    <row r="78">
      <c r="A78" s="2" t="str">
        <f>IFERROR(__xludf.DUMMYFUNCTION("""COMPUTED_VALUE"""),"Lewars, Esther")</f>
        <v>Lewars, Esther</v>
      </c>
      <c r="B78" s="2" t="str">
        <f>IFERROR(__xludf.DUMMYFUNCTION("""COMPUTED_VALUE"""),"elewars@njit.edu")</f>
        <v>elewars@njit.edu</v>
      </c>
      <c r="C78" s="2">
        <f>IFERROR(__xludf.DUMMYFUNCTION("""COMPUTED_VALUE"""),2.1229904E7)</f>
        <v>21229904</v>
      </c>
      <c r="D78" s="2" t="str">
        <f>IFERROR(__xludf.DUMMYFUNCTION("""COMPUTED_VALUE"""),"Adjunct, Tier II")</f>
        <v>Adjunct, Tier II</v>
      </c>
    </row>
    <row r="79">
      <c r="A79" s="2" t="str">
        <f>IFERROR(__xludf.DUMMYFUNCTION("""COMPUTED_VALUE"""),"Li, Daming")</f>
        <v>Li, Daming</v>
      </c>
      <c r="B79" s="2" t="str">
        <f>IFERROR(__xludf.DUMMYFUNCTION("""COMPUTED_VALUE"""),"dli@njit.edu")</f>
        <v>dli@njit.edu</v>
      </c>
      <c r="C79" s="2">
        <f>IFERROR(__xludf.DUMMYFUNCTION("""COMPUTED_VALUE"""),3.1486221E7)</f>
        <v>31486221</v>
      </c>
      <c r="D79" s="2" t="str">
        <f>IFERROR(__xludf.DUMMYFUNCTION("""COMPUTED_VALUE"""),"University Lecturer, Senior")</f>
        <v>University Lecturer, Senior</v>
      </c>
    </row>
    <row r="80">
      <c r="A80" s="2" t="str">
        <f>IFERROR(__xludf.DUMMYFUNCTION("""COMPUTED_VALUE"""),"Shih, Frank")</f>
        <v>Shih, Frank</v>
      </c>
      <c r="B80" s="2" t="str">
        <f>IFERROR(__xludf.DUMMYFUNCTION("""COMPUTED_VALUE"""),"shih@njit.edu")</f>
        <v>shih@njit.edu</v>
      </c>
      <c r="C80" s="2">
        <f>IFERROR(__xludf.DUMMYFUNCTION("""COMPUTED_VALUE"""),2.1367418E7)</f>
        <v>21367418</v>
      </c>
      <c r="D80" s="2" t="str">
        <f>IFERROR(__xludf.DUMMYFUNCTION("""COMPUTED_VALUE"""),"Professor")</f>
        <v>Professor</v>
      </c>
    </row>
    <row r="81">
      <c r="A81" s="2" t="str">
        <f>IFERROR(__xludf.DUMMYFUNCTION("""COMPUTED_VALUE"""),"Li, Yajuan")</f>
        <v>Li, Yajuan</v>
      </c>
      <c r="B81" s="2" t="str">
        <f>IFERROR(__xludf.DUMMYFUNCTION("""COMPUTED_VALUE"""),"yl935@njit.edu")</f>
        <v>yl935@njit.edu</v>
      </c>
      <c r="C81" s="2">
        <f>IFERROR(__xludf.DUMMYFUNCTION("""COMPUTED_VALUE"""),3.143869E7)</f>
        <v>31438690</v>
      </c>
      <c r="D81" s="2" t="str">
        <f>IFERROR(__xludf.DUMMYFUNCTION("""COMPUTED_VALUE"""),"University Lecturer")</f>
        <v>University Lecturer</v>
      </c>
    </row>
    <row r="82">
      <c r="A82" s="2" t="str">
        <f>IFERROR(__xludf.DUMMYFUNCTION("""COMPUTED_VALUE"""),"Licciardello, Thomas")</f>
        <v>Licciardello, Thomas</v>
      </c>
      <c r="B82" s="2" t="str">
        <f>IFERROR(__xludf.DUMMYFUNCTION("""COMPUTED_VALUE"""),"trl@njit.edu")</f>
        <v>trl@njit.edu</v>
      </c>
      <c r="C82" s="2">
        <f>IFERROR(__xludf.DUMMYFUNCTION("""COMPUTED_VALUE"""),3.1670022E7)</f>
        <v>31670022</v>
      </c>
      <c r="D82" s="2" t="str">
        <f>IFERROR(__xludf.DUMMYFUNCTION("""COMPUTED_VALUE"""),"University Lecturer")</f>
        <v>University Lecturer</v>
      </c>
    </row>
    <row r="83">
      <c r="A83" s="2" t="str">
        <f>IFERROR(__xludf.DUMMYFUNCTION("""COMPUTED_VALUE"""),"Lin, Lin")</f>
        <v>Lin, Lin</v>
      </c>
      <c r="B83" s="2" t="str">
        <f>IFERROR(__xludf.DUMMYFUNCTION("""COMPUTED_VALUE"""),"llin@njit.edu")</f>
        <v>llin@njit.edu</v>
      </c>
      <c r="C83" s="2">
        <f>IFERROR(__xludf.DUMMYFUNCTION("""COMPUTED_VALUE"""),3.1246727E7)</f>
        <v>31246727</v>
      </c>
      <c r="D83" s="2" t="str">
        <f>IFERROR(__xludf.DUMMYFUNCTION("""COMPUTED_VALUE"""),"University Lecturer, Senior")</f>
        <v>University Lecturer, Senior</v>
      </c>
    </row>
    <row r="84">
      <c r="A84" s="2" t="str">
        <f>IFERROR(__xludf.DUMMYFUNCTION("""COMPUTED_VALUE"""),"Sohn, Andrew")</f>
        <v>Sohn, Andrew</v>
      </c>
      <c r="B84" s="2" t="str">
        <f>IFERROR(__xludf.DUMMYFUNCTION("""COMPUTED_VALUE"""),"sohna@njit.edu")</f>
        <v>sohna@njit.edu</v>
      </c>
      <c r="C84" s="2">
        <f>IFERROR(__xludf.DUMMYFUNCTION("""COMPUTED_VALUE"""),2.1368964E7)</f>
        <v>21368964</v>
      </c>
      <c r="D84" s="2" t="str">
        <f>IFERROR(__xludf.DUMMYFUNCTION("""COMPUTED_VALUE"""),"Professor, Associate")</f>
        <v>Professor, Associate</v>
      </c>
    </row>
    <row r="85">
      <c r="A85" s="2" t="str">
        <f>IFERROR(__xludf.DUMMYFUNCTION("""COMPUTED_VALUE"""),"Theodoratos, Dimitrios")</f>
        <v>Theodoratos, Dimitrios</v>
      </c>
      <c r="B85" s="2" t="str">
        <f>IFERROR(__xludf.DUMMYFUNCTION("""COMPUTED_VALUE"""),"dth@njit.edu")</f>
        <v>dth@njit.edu</v>
      </c>
      <c r="C85" s="2">
        <f>IFERROR(__xludf.DUMMYFUNCTION("""COMPUTED_VALUE"""),2.1368341E7)</f>
        <v>21368341</v>
      </c>
      <c r="D85" s="2" t="str">
        <f>IFERROR(__xludf.DUMMYFUNCTION("""COMPUTED_VALUE"""),"Professor, Associate")</f>
        <v>Professor, Associate</v>
      </c>
    </row>
    <row r="86">
      <c r="A86" s="2" t="str">
        <f>IFERROR(__xludf.DUMMYFUNCTION("""COMPUTED_VALUE"""),"Mani, Kumar")</f>
        <v>Mani, Kumar</v>
      </c>
      <c r="B86" s="2" t="str">
        <f>IFERROR(__xludf.DUMMYFUNCTION("""COMPUTED_VALUE"""),"kxm4@njit.edu")</f>
        <v>kxm4@njit.edu</v>
      </c>
      <c r="C86" s="2">
        <f>IFERROR(__xludf.DUMMYFUNCTION("""COMPUTED_VALUE"""),2.1275171E7)</f>
        <v>21275171</v>
      </c>
      <c r="D86" s="2" t="str">
        <f>IFERROR(__xludf.DUMMYFUNCTION("""COMPUTED_VALUE"""),"University Lecturer, Senior")</f>
        <v>University Lecturer, Senior</v>
      </c>
    </row>
    <row r="87">
      <c r="A87" s="2" t="str">
        <f>IFERROR(__xludf.DUMMYFUNCTION("""COMPUTED_VALUE"""),"Markson, Christopher")</f>
        <v>Markson, Christopher</v>
      </c>
      <c r="B87" s="2" t="str">
        <f>IFERROR(__xludf.DUMMYFUNCTION("""COMPUTED_VALUE"""),"crm23@njit.edu")</f>
        <v>crm23@njit.edu</v>
      </c>
      <c r="C87" s="2">
        <f>IFERROR(__xludf.DUMMYFUNCTION("""COMPUTED_VALUE"""),2.1301589E7)</f>
        <v>21301589</v>
      </c>
      <c r="D87" s="2" t="str">
        <f>IFERROR(__xludf.DUMMYFUNCTION("""COMPUTED_VALUE"""),"Adjunct, Tier III")</f>
        <v>Adjunct, Tier III</v>
      </c>
    </row>
    <row r="88">
      <c r="A88" s="2" t="str">
        <f>IFERROR(__xludf.DUMMYFUNCTION("""COMPUTED_VALUE"""),"Markulic, James")</f>
        <v>Markulic, James</v>
      </c>
      <c r="B88" s="2" t="str">
        <f>IFERROR(__xludf.DUMMYFUNCTION("""COMPUTED_VALUE"""),"markulic@njit.edu")</f>
        <v>markulic@njit.edu</v>
      </c>
      <c r="C88" s="2">
        <f>IFERROR(__xludf.DUMMYFUNCTION("""COMPUTED_VALUE"""),2.1484374E7)</f>
        <v>21484374</v>
      </c>
      <c r="D88" s="2" t="str">
        <f>IFERROR(__xludf.DUMMYFUNCTION("""COMPUTED_VALUE"""),"Adjunct, Tier III")</f>
        <v>Adjunct, Tier III</v>
      </c>
    </row>
    <row r="89">
      <c r="A89" s="2" t="str">
        <f>IFERROR(__xludf.DUMMYFUNCTION("""COMPUTED_VALUE"""),"Martin, Michael")</f>
        <v>Martin, Michael</v>
      </c>
      <c r="B89" s="2" t="str">
        <f>IFERROR(__xludf.DUMMYFUNCTION("""COMPUTED_VALUE"""),"mjm222@njit.edu")</f>
        <v>mjm222@njit.edu</v>
      </c>
      <c r="C89" s="2">
        <f>IFERROR(__xludf.DUMMYFUNCTION("""COMPUTED_VALUE"""),3.1412441E7)</f>
        <v>31412441</v>
      </c>
      <c r="D89" s="2" t="str">
        <f>IFERROR(__xludf.DUMMYFUNCTION("""COMPUTED_VALUE"""),"Adjunct, Tier I")</f>
        <v>Adjunct, Tier I</v>
      </c>
    </row>
    <row r="90">
      <c r="A90" s="2" t="str">
        <f>IFERROR(__xludf.DUMMYFUNCTION("""COMPUTED_VALUE"""),"Martino, Daniel")</f>
        <v>Martino, Daniel</v>
      </c>
      <c r="B90" s="2" t="str">
        <f>IFERROR(__xludf.DUMMYFUNCTION("""COMPUTED_VALUE"""),"dgm9@njit.edu")</f>
        <v>dgm9@njit.edu</v>
      </c>
      <c r="C90" s="2">
        <f>IFERROR(__xludf.DUMMYFUNCTION("""COMPUTED_VALUE"""),3.1453741E7)</f>
        <v>31453741</v>
      </c>
      <c r="D90" s="2" t="str">
        <f>IFERROR(__xludf.DUMMYFUNCTION("""COMPUTED_VALUE"""),"Adjunct, Tier I")</f>
        <v>Adjunct, Tier I</v>
      </c>
    </row>
    <row r="91">
      <c r="A91" s="2" t="str">
        <f>IFERROR(__xludf.DUMMYFUNCTION("""COMPUTED_VALUE"""),"McCann, William F.")</f>
        <v>McCann, William F.</v>
      </c>
      <c r="B91" s="2" t="str">
        <f>IFERROR(__xludf.DUMMYFUNCTION("""COMPUTED_VALUE"""),"wfm8@njit.edu")</f>
        <v>wfm8@njit.edu</v>
      </c>
      <c r="C91" s="2">
        <f>IFERROR(__xludf.DUMMYFUNCTION("""COMPUTED_VALUE"""),3.1557189E7)</f>
        <v>31557189</v>
      </c>
      <c r="D91" s="2" t="str">
        <f>IFERROR(__xludf.DUMMYFUNCTION("""COMPUTED_VALUE"""),"Adjunct, Tier I")</f>
        <v>Adjunct, Tier I</v>
      </c>
    </row>
    <row r="92">
      <c r="A92" s="2" t="str">
        <f>IFERROR(__xludf.DUMMYFUNCTION("""COMPUTED_VALUE"""),"McCann, William J.")</f>
        <v>McCann, William J.</v>
      </c>
      <c r="B92" s="2" t="str">
        <f>IFERROR(__xludf.DUMMYFUNCTION("""COMPUTED_VALUE"""),"wjm9@njit.edu")</f>
        <v>wjm9@njit.edu</v>
      </c>
      <c r="C92" s="2">
        <f>IFERROR(__xludf.DUMMYFUNCTION("""COMPUTED_VALUE"""),3.1399958E7)</f>
        <v>31399958</v>
      </c>
      <c r="D92" s="2" t="str">
        <f>IFERROR(__xludf.DUMMYFUNCTION("""COMPUTED_VALUE"""),"Adjunct, Tier I")</f>
        <v>Adjunct, Tier I</v>
      </c>
    </row>
    <row r="93">
      <c r="A93" s="2" t="str">
        <f>IFERROR(__xludf.DUMMYFUNCTION("""COMPUTED_VALUE"""),"McCormick, Shanna")</f>
        <v>McCormick, Shanna</v>
      </c>
      <c r="B93" s="2" t="str">
        <f>IFERROR(__xludf.DUMMYFUNCTION("""COMPUTED_VALUE"""),"sam52@njit.edu")</f>
        <v>sam52@njit.edu</v>
      </c>
      <c r="C93" s="2">
        <f>IFERROR(__xludf.DUMMYFUNCTION("""COMPUTED_VALUE"""),3.1602029E7)</f>
        <v>31602029</v>
      </c>
      <c r="D93" s="2" t="str">
        <f>IFERROR(__xludf.DUMMYFUNCTION("""COMPUTED_VALUE"""),"Adjunct, Tier I")</f>
        <v>Adjunct, Tier I</v>
      </c>
    </row>
    <row r="94">
      <c r="A94" s="2" t="str">
        <f>IFERROR(__xludf.DUMMYFUNCTION("""COMPUTED_VALUE"""),"Wang, Guiling")</f>
        <v>Wang, Guiling</v>
      </c>
      <c r="B94" s="2" t="str">
        <f>IFERROR(__xludf.DUMMYFUNCTION("""COMPUTED_VALUE"""),"gwang@njit.edu")</f>
        <v>gwang@njit.edu</v>
      </c>
      <c r="C94" s="2">
        <f>IFERROR(__xludf.DUMMYFUNCTION("""COMPUTED_VALUE"""),2.1484141E7)</f>
        <v>21484141</v>
      </c>
      <c r="D94" s="2" t="str">
        <f>IFERROR(__xludf.DUMMYFUNCTION("""COMPUTED_VALUE"""),"Professor")</f>
        <v>Professor</v>
      </c>
    </row>
    <row r="95">
      <c r="A95" s="2" t="str">
        <f>IFERROR(__xludf.DUMMYFUNCTION("""COMPUTED_VALUE"""),"Monogioudis, Pantelis")</f>
        <v>Monogioudis, Pantelis</v>
      </c>
      <c r="B95" s="2" t="str">
        <f>IFERROR(__xludf.DUMMYFUNCTION("""COMPUTED_VALUE"""),"monogiou@njit.edu")</f>
        <v>monogiou@njit.edu</v>
      </c>
      <c r="C95" s="2">
        <f>IFERROR(__xludf.DUMMYFUNCTION("""COMPUTED_VALUE"""),3.1503674E7)</f>
        <v>31503674</v>
      </c>
      <c r="D95" s="2" t="str">
        <f>IFERROR(__xludf.DUMMYFUNCTION("""COMPUTED_VALUE"""),"University Lecturer, Senior")</f>
        <v>University Lecturer, Senior</v>
      </c>
    </row>
    <row r="96">
      <c r="A96" s="2" t="str">
        <f>IFERROR(__xludf.DUMMYFUNCTION("""COMPUTED_VALUE"""),"Wang, Jason")</f>
        <v>Wang, Jason</v>
      </c>
      <c r="B96" s="2" t="str">
        <f>IFERROR(__xludf.DUMMYFUNCTION("""COMPUTED_VALUE"""),"wangj@njit.edu")</f>
        <v>wangj@njit.edu</v>
      </c>
      <c r="C96" s="2">
        <f>IFERROR(__xludf.DUMMYFUNCTION("""COMPUTED_VALUE"""),2.1368801E7)</f>
        <v>21368801</v>
      </c>
      <c r="D96" s="2" t="str">
        <f>IFERROR(__xludf.DUMMYFUNCTION("""COMPUTED_VALUE"""),"Professor")</f>
        <v>Professor</v>
      </c>
    </row>
    <row r="97">
      <c r="A97" s="2" t="str">
        <f>IFERROR(__xludf.DUMMYFUNCTION("""COMPUTED_VALUE"""),"Nadiminti, Anil")</f>
        <v>Nadiminti, Anil</v>
      </c>
      <c r="B97" s="2" t="str">
        <f>IFERROR(__xludf.DUMMYFUNCTION("""COMPUTED_VALUE"""),"ann3@njit.edu")</f>
        <v>ann3@njit.edu</v>
      </c>
      <c r="C97" s="2">
        <f>IFERROR(__xludf.DUMMYFUNCTION("""COMPUTED_VALUE"""),2.1080793E7)</f>
        <v>21080793</v>
      </c>
      <c r="D97" s="2" t="str">
        <f>IFERROR(__xludf.DUMMYFUNCTION("""COMPUTED_VALUE"""),"Adjunct, Tier I")</f>
        <v>Adjunct, Tier I</v>
      </c>
    </row>
    <row r="98">
      <c r="A98" s="2" t="str">
        <f>IFERROR(__xludf.DUMMYFUNCTION("""COMPUTED_VALUE"""),"Nahata, Hans Raj")</f>
        <v>Nahata, Hans Raj</v>
      </c>
      <c r="B98" s="2" t="str">
        <f>IFERROR(__xludf.DUMMYFUNCTION("""COMPUTED_VALUE"""),"hnahata@njit.edu")</f>
        <v>hnahata@njit.edu</v>
      </c>
      <c r="C98" s="2">
        <f>IFERROR(__xludf.DUMMYFUNCTION("""COMPUTED_VALUE"""),3.1361346E7)</f>
        <v>31361346</v>
      </c>
      <c r="D98" s="2" t="str">
        <f>IFERROR(__xludf.DUMMYFUNCTION("""COMPUTED_VALUE"""),"Adjunct, Tier I")</f>
        <v>Adjunct, Tier I</v>
      </c>
    </row>
    <row r="99">
      <c r="A99" s="2" t="str">
        <f>IFERROR(__xludf.DUMMYFUNCTION("""COMPUTED_VALUE"""),"Naik, Abhishek")</f>
        <v>Naik, Abhishek</v>
      </c>
      <c r="B99" s="2" t="str">
        <f>IFERROR(__xludf.DUMMYFUNCTION("""COMPUTED_VALUE"""),"an286@njit.edu")</f>
        <v>an286@njit.edu</v>
      </c>
      <c r="C99" s="2">
        <f>IFERROR(__xludf.DUMMYFUNCTION("""COMPUTED_VALUE"""),3.1234567E7)</f>
        <v>31234567</v>
      </c>
      <c r="D99" s="2" t="str">
        <f>IFERROR(__xludf.DUMMYFUNCTION("""COMPUTED_VALUE"""),"Adjunct, Tier I")</f>
        <v>Adjunct, Tier I</v>
      </c>
    </row>
    <row r="100">
      <c r="A100" s="2" t="str">
        <f>IFERROR(__xludf.DUMMYFUNCTION("""COMPUTED_VALUE"""),"Naik, Kamlesh")</f>
        <v>Naik, Kamlesh</v>
      </c>
      <c r="B100" s="2" t="str">
        <f>IFERROR(__xludf.DUMMYFUNCTION("""COMPUTED_VALUE"""),"krn9@njit.edu")</f>
        <v>krn9@njit.edu</v>
      </c>
      <c r="C100" s="2">
        <f>IFERROR(__xludf.DUMMYFUNCTION("""COMPUTED_VALUE"""),3.1513057E7)</f>
        <v>31513057</v>
      </c>
      <c r="D100" s="2" t="str">
        <f>IFERROR(__xludf.DUMMYFUNCTION("""COMPUTED_VALUE"""),"University Lecturer")</f>
        <v>University Lecturer</v>
      </c>
    </row>
    <row r="101">
      <c r="A101" s="2" t="str">
        <f>IFERROR(__xludf.DUMMYFUNCTION("""COMPUTED_VALUE"""),"Wei, Zhi")</f>
        <v>Wei, Zhi</v>
      </c>
      <c r="B101" s="2" t="str">
        <f>IFERROR(__xludf.DUMMYFUNCTION("""COMPUTED_VALUE"""),"zhiwei@njit.edu")</f>
        <v>zhiwei@njit.edu</v>
      </c>
      <c r="C101" s="2">
        <f>IFERROR(__xludf.DUMMYFUNCTION("""COMPUTED_VALUE"""),2.1484576E7)</f>
        <v>21484576</v>
      </c>
      <c r="D101" s="2" t="str">
        <f>IFERROR(__xludf.DUMMYFUNCTION("""COMPUTED_VALUE"""),"Professor")</f>
        <v>Professor</v>
      </c>
    </row>
    <row r="102">
      <c r="A102" s="2" t="str">
        <f>IFERROR(__xludf.DUMMYFUNCTION("""COMPUTED_VALUE"""),"Nammour, Shannon")</f>
        <v>Nammour, Shannon</v>
      </c>
      <c r="B102" s="2" t="str">
        <f>IFERROR(__xludf.DUMMYFUNCTION("""COMPUTED_VALUE"""),"ssn9@njit.edu")</f>
        <v>ssn9@njit.edu</v>
      </c>
      <c r="C102" s="2">
        <f>IFERROR(__xludf.DUMMYFUNCTION("""COMPUTED_VALUE"""),3.1540296E7)</f>
        <v>31540296</v>
      </c>
      <c r="D102" s="2" t="str">
        <f>IFERROR(__xludf.DUMMYFUNCTION("""COMPUTED_VALUE"""),"Adjunct, Tier I")</f>
        <v>Adjunct, Tier I</v>
      </c>
    </row>
    <row r="103">
      <c r="A103" s="2" t="str">
        <f>IFERROR(__xludf.DUMMYFUNCTION("""COMPUTED_VALUE"""),"Xu, Pan")</f>
        <v>Xu, Pan</v>
      </c>
      <c r="B103" s="2" t="str">
        <f>IFERROR(__xludf.DUMMYFUNCTION("""COMPUTED_VALUE"""),"pxu@njit.edu")</f>
        <v>pxu@njit.edu</v>
      </c>
      <c r="C103" s="2">
        <f>IFERROR(__xludf.DUMMYFUNCTION("""COMPUTED_VALUE"""),3.1509539E7)</f>
        <v>31509539</v>
      </c>
      <c r="D103" s="2" t="str">
        <f>IFERROR(__xludf.DUMMYFUNCTION("""COMPUTED_VALUE"""),"Professor, Assistant")</f>
        <v>Professor, Assistant</v>
      </c>
    </row>
    <row r="104">
      <c r="A104" s="2" t="str">
        <f>IFERROR(__xludf.DUMMYFUNCTION("""COMPUTED_VALUE"""),"Nazzaro, Mark")</f>
        <v>Nazzaro, Mark</v>
      </c>
      <c r="B104" s="2" t="str">
        <f>IFERROR(__xludf.DUMMYFUNCTION("""COMPUTED_VALUE"""),"nazzaro@njit.edu")</f>
        <v>nazzaro@njit.edu</v>
      </c>
      <c r="C104" s="2">
        <f>IFERROR(__xludf.DUMMYFUNCTION("""COMPUTED_VALUE"""),3.1486563E7)</f>
        <v>31486563</v>
      </c>
      <c r="D104" s="2" t="str">
        <f>IFERROR(__xludf.DUMMYFUNCTION("""COMPUTED_VALUE"""),"Adjunct, Tier II")</f>
        <v>Adjunct, Tier II</v>
      </c>
    </row>
    <row r="105">
      <c r="A105" s="2" t="str">
        <f>IFERROR(__xludf.DUMMYFUNCTION("""COMPUTED_VALUE"""),"Yao, Zhihao")</f>
        <v>Yao, Zhihao</v>
      </c>
      <c r="B105" s="2" t="str">
        <f>IFERROR(__xludf.DUMMYFUNCTION("""COMPUTED_VALUE"""),"zy8@njit.edu")</f>
        <v>zy8@njit.edu</v>
      </c>
      <c r="C105" s="2">
        <f>IFERROR(__xludf.DUMMYFUNCTION("""COMPUTED_VALUE"""),3.1666756E7)</f>
        <v>31666756</v>
      </c>
      <c r="D105" s="2" t="str">
        <f>IFERROR(__xludf.DUMMYFUNCTION("""COMPUTED_VALUE"""),"Professor, Assistant")</f>
        <v>Professor, Assistant</v>
      </c>
    </row>
    <row r="106">
      <c r="A106" s="2" t="str">
        <f>IFERROR(__xludf.DUMMYFUNCTION("""COMPUTED_VALUE"""),"Nemane, Nikita")</f>
        <v>Nemane, Nikita</v>
      </c>
      <c r="B106" s="2" t="str">
        <f>IFERROR(__xludf.DUMMYFUNCTION("""COMPUTED_VALUE"""),"nn43@njit.edu")</f>
        <v>nn43@njit.edu</v>
      </c>
      <c r="C106" s="2">
        <f>IFERROR(__xludf.DUMMYFUNCTION("""COMPUTED_VALUE"""),3.1558928E7)</f>
        <v>31558928</v>
      </c>
      <c r="D106" s="2" t="str">
        <f>IFERROR(__xludf.DUMMYFUNCTION("""COMPUTED_VALUE"""),"University Lecturer")</f>
        <v>University Lecturer</v>
      </c>
    </row>
    <row r="107">
      <c r="A107" s="2" t="str">
        <f>IFERROR(__xludf.DUMMYFUNCTION("""COMPUTED_VALUE"""),"Nersesian, Eric")</f>
        <v>Nersesian, Eric</v>
      </c>
      <c r="B107" s="2" t="str">
        <f>IFERROR(__xludf.DUMMYFUNCTION("""COMPUTED_VALUE"""),"en6@njit.edu")</f>
        <v>en6@njit.edu</v>
      </c>
      <c r="C107" s="2">
        <f>IFERROR(__xludf.DUMMYFUNCTION("""COMPUTED_VALUE"""),2.1645347E7)</f>
        <v>21645347</v>
      </c>
      <c r="D107" s="2" t="str">
        <f>IFERROR(__xludf.DUMMYFUNCTION("""COMPUTED_VALUE"""),"University Lecturer")</f>
        <v>University Lecturer</v>
      </c>
    </row>
    <row r="108">
      <c r="A108" s="2" t="str">
        <f>IFERROR(__xludf.DUMMYFUNCTION("""COMPUTED_VALUE"""),"Ohshiro, Keita")</f>
        <v>Ohshiro, Keita</v>
      </c>
      <c r="B108" s="2" t="str">
        <f>IFERROR(__xludf.DUMMYFUNCTION("""COMPUTED_VALUE"""),"ko89@njit.edu")</f>
        <v>ko89@njit.edu</v>
      </c>
      <c r="C108" s="2">
        <f>IFERROR(__xludf.DUMMYFUNCTION("""COMPUTED_VALUE"""),3.1555261E7)</f>
        <v>31555261</v>
      </c>
      <c r="D108" s="2" t="str">
        <f>IFERROR(__xludf.DUMMYFUNCTION("""COMPUTED_VALUE"""),"University Lecturer")</f>
        <v>University Lecturer</v>
      </c>
    </row>
    <row r="109">
      <c r="A109" s="2" t="str">
        <f>IFERROR(__xludf.DUMMYFUNCTION("""COMPUTED_VALUE"""),"Bader, David")</f>
        <v>Bader, David</v>
      </c>
      <c r="B109" s="2" t="str">
        <f>IFERROR(__xludf.DUMMYFUNCTION("""COMPUTED_VALUE"""),"bader@njit.edu")</f>
        <v>bader@njit.edu</v>
      </c>
      <c r="C109" s="2">
        <f>IFERROR(__xludf.DUMMYFUNCTION("""COMPUTED_VALUE"""),3.1510216E7)</f>
        <v>31510216</v>
      </c>
      <c r="D109" s="2" t="str">
        <f>IFERROR(__xludf.DUMMYFUNCTION("""COMPUTED_VALUE"""),"Professor")</f>
        <v>Professor</v>
      </c>
    </row>
    <row r="110">
      <c r="A110" s="2" t="str">
        <f>IFERROR(__xludf.DUMMYFUNCTION("""COMPUTED_VALUE"""),"Pak, Charles")</f>
        <v>Pak, Charles</v>
      </c>
      <c r="B110" s="2" t="str">
        <f>IFERROR(__xludf.DUMMYFUNCTION("""COMPUTED_VALUE"""),"cpak@njit.edu")</f>
        <v>cpak@njit.edu</v>
      </c>
      <c r="C110" s="2">
        <f>IFERROR(__xludf.DUMMYFUNCTION("""COMPUTED_VALUE"""),3.13292E7)</f>
        <v>31329200</v>
      </c>
      <c r="D110" s="2" t="str">
        <f>IFERROR(__xludf.DUMMYFUNCTION("""COMPUTED_VALUE"""),"Adjunct, Tier III")</f>
        <v>Adjunct, Tier III</v>
      </c>
    </row>
    <row r="111">
      <c r="A111" s="2" t="str">
        <f>IFERROR(__xludf.DUMMYFUNCTION("""COMPUTED_VALUE"""),"Parviz, Ali")</f>
        <v>Parviz, Ali</v>
      </c>
      <c r="B111" s="2" t="str">
        <f>IFERROR(__xludf.DUMMYFUNCTION("""COMPUTED_VALUE"""),"ap2248@njit.edu")</f>
        <v>ap2248@njit.edu</v>
      </c>
      <c r="C111" s="2">
        <f>IFERROR(__xludf.DUMMYFUNCTION("""COMPUTED_VALUE"""),3.1440248E7)</f>
        <v>31440248</v>
      </c>
      <c r="D111" s="2" t="str">
        <f>IFERROR(__xludf.DUMMYFUNCTION("""COMPUTED_VALUE"""),"PhD student")</f>
        <v>PhD student</v>
      </c>
    </row>
    <row r="112">
      <c r="A112" s="2" t="str">
        <f>IFERROR(__xludf.DUMMYFUNCTION("""COMPUTED_VALUE"""),"Patel, Dipesh")</f>
        <v>Patel, Dipesh</v>
      </c>
      <c r="B112" s="2" t="str">
        <f>IFERROR(__xludf.DUMMYFUNCTION("""COMPUTED_VALUE"""),"pateldi@njit.edu")</f>
        <v>pateldi@njit.edu</v>
      </c>
      <c r="C112" s="2">
        <f>IFERROR(__xludf.DUMMYFUNCTION("""COMPUTED_VALUE"""),2.1328952E7)</f>
        <v>21328952</v>
      </c>
      <c r="D112" s="2" t="str">
        <f>IFERROR(__xludf.DUMMYFUNCTION("""COMPUTED_VALUE"""),"University Lecturer")</f>
        <v>University Lecturer</v>
      </c>
    </row>
    <row r="113">
      <c r="A113" s="2" t="str">
        <f>IFERROR(__xludf.DUMMYFUNCTION("""COMPUTED_VALUE"""),"Dasgupta, Aritra")</f>
        <v>Dasgupta, Aritra</v>
      </c>
      <c r="B113" s="2" t="str">
        <f>IFERROR(__xludf.DUMMYFUNCTION("""COMPUTED_VALUE"""),"dasg018@njit.edu")</f>
        <v>dasg018@njit.edu</v>
      </c>
      <c r="C113" s="2">
        <f>IFERROR(__xludf.DUMMYFUNCTION("""COMPUTED_VALUE"""),3.1086061E7)</f>
        <v>31086061</v>
      </c>
      <c r="D113" s="2" t="str">
        <f>IFERROR(__xludf.DUMMYFUNCTION("""COMPUTED_VALUE"""),"Professor, Assistant")</f>
        <v>Professor, Assistant</v>
      </c>
    </row>
    <row r="114">
      <c r="A114" s="2" t="str">
        <f>IFERROR(__xludf.DUMMYFUNCTION("""COMPUTED_VALUE"""),"Pethkar, Kaustubh Vijaykumar")</f>
        <v>Pethkar, Kaustubh Vijaykumar</v>
      </c>
      <c r="B114" s="2" t="str">
        <f>IFERROR(__xludf.DUMMYFUNCTION("""COMPUTED_VALUE"""),"kp759@njit.edu")</f>
        <v>kp759@njit.edu</v>
      </c>
      <c r="C114" s="2">
        <f>IFERROR(__xludf.DUMMYFUNCTION("""COMPUTED_VALUE"""),3.1505409E7)</f>
        <v>31505409</v>
      </c>
      <c r="D114" s="2" t="str">
        <f>IFERROR(__xludf.DUMMYFUNCTION("""COMPUTED_VALUE"""),"University Lecturer")</f>
        <v>University Lecturer</v>
      </c>
    </row>
    <row r="115">
      <c r="A115" s="2" t="str">
        <f>IFERROR(__xludf.DUMMYFUNCTION("""COMPUTED_VALUE"""),"Du, Mengnan")</f>
        <v>Du, Mengnan</v>
      </c>
      <c r="B115" s="2" t="str">
        <f>IFERROR(__xludf.DUMMYFUNCTION("""COMPUTED_VALUE"""),"md748@njit.edu")</f>
        <v>md748@njit.edu</v>
      </c>
      <c r="C115" s="2">
        <f>IFERROR(__xludf.DUMMYFUNCTION("""COMPUTED_VALUE"""),3.1614613E7)</f>
        <v>31614613</v>
      </c>
      <c r="D115" s="2" t="str">
        <f>IFERROR(__xludf.DUMMYFUNCTION("""COMPUTED_VALUE"""),"Professor, Assistant")</f>
        <v>Professor, Assistant</v>
      </c>
    </row>
    <row r="116">
      <c r="A116" s="2" t="str">
        <f>IFERROR(__xludf.DUMMYFUNCTION("""COMPUTED_VALUE"""),"Geller, James")</f>
        <v>Geller, James</v>
      </c>
      <c r="B116" s="2" t="str">
        <f>IFERROR(__xludf.DUMMYFUNCTION("""COMPUTED_VALUE"""),"geller@njit.edu")</f>
        <v>geller@njit.edu</v>
      </c>
      <c r="C116" s="2">
        <f>IFERROR(__xludf.DUMMYFUNCTION("""COMPUTED_VALUE"""),2.1367584E7)</f>
        <v>21367584</v>
      </c>
      <c r="D116" s="2" t="str">
        <f>IFERROR(__xludf.DUMMYFUNCTION("""COMPUTED_VALUE"""),"Professor")</f>
        <v>Professor</v>
      </c>
    </row>
    <row r="117">
      <c r="A117" s="2" t="str">
        <f>IFERROR(__xludf.DUMMYFUNCTION("""COMPUTED_VALUE"""),"Qerimaj, Jertishta")</f>
        <v>Qerimaj, Jertishta</v>
      </c>
      <c r="B117" s="2" t="str">
        <f>IFERROR(__xludf.DUMMYFUNCTION("""COMPUTED_VALUE"""),"jq55@njit.edu")</f>
        <v>jq55@njit.edu</v>
      </c>
      <c r="C117" s="2">
        <f>IFERROR(__xludf.DUMMYFUNCTION("""COMPUTED_VALUE"""),2.1279436E7)</f>
        <v>21279436</v>
      </c>
      <c r="D117" s="2" t="str">
        <f>IFERROR(__xludf.DUMMYFUNCTION("""COMPUTED_VALUE"""),"University Lecturer")</f>
        <v>University Lecturer</v>
      </c>
    </row>
    <row r="118">
      <c r="A118" s="2" t="str">
        <f>IFERROR(__xludf.DUMMYFUNCTION("""COMPUTED_VALUE"""),"Rahman, Moshiur")</f>
        <v>Rahman, Moshiur</v>
      </c>
      <c r="B118" s="2" t="str">
        <f>IFERROR(__xludf.DUMMYFUNCTION("""COMPUTED_VALUE"""),"mrahman@njit.edu")</f>
        <v>mrahman@njit.edu</v>
      </c>
      <c r="C118" s="2">
        <f>IFERROR(__xludf.DUMMYFUNCTION("""COMPUTED_VALUE"""),2.1343899E7)</f>
        <v>21343899</v>
      </c>
      <c r="D118" s="2" t="str">
        <f>IFERROR(__xludf.DUMMYFUNCTION("""COMPUTED_VALUE"""),"Adjunct, Tier III")</f>
        <v>Adjunct, Tier III</v>
      </c>
    </row>
    <row r="119">
      <c r="A119" s="2" t="str">
        <f>IFERROR(__xludf.DUMMYFUNCTION("""COMPUTED_VALUE"""),"Rajamani, Sathish")</f>
        <v>Rajamani, Sathish</v>
      </c>
      <c r="B119" s="2" t="str">
        <f>IFERROR(__xludf.DUMMYFUNCTION("""COMPUTED_VALUE"""),"srajaman@njit.edu")</f>
        <v>srajaman@njit.edu</v>
      </c>
      <c r="C119" s="2">
        <f>IFERROR(__xludf.DUMMYFUNCTION("""COMPUTED_VALUE"""),3.138566E7)</f>
        <v>31385660</v>
      </c>
      <c r="D119" s="2" t="str">
        <f>IFERROR(__xludf.DUMMYFUNCTION("""COMPUTED_VALUE"""),"Adjunct, Tier II")</f>
        <v>Adjunct, Tier II</v>
      </c>
    </row>
    <row r="120">
      <c r="A120" s="2" t="str">
        <f>IFERROR(__xludf.DUMMYFUNCTION("""COMPUTED_VALUE"""),"Phan, Hai")</f>
        <v>Phan, Hai</v>
      </c>
      <c r="B120" s="2" t="str">
        <f>IFERROR(__xludf.DUMMYFUNCTION("""COMPUTED_VALUE"""),"phan@njit.edu")</f>
        <v>phan@njit.edu</v>
      </c>
      <c r="C120" s="2">
        <f>IFERROR(__xludf.DUMMYFUNCTION("""COMPUTED_VALUE"""),3.1416513E7)</f>
        <v>31416513</v>
      </c>
      <c r="D120" s="2" t="str">
        <f>IFERROR(__xludf.DUMMYFUNCTION("""COMPUTED_VALUE"""),"Professor, Associate")</f>
        <v>Professor, Associate</v>
      </c>
    </row>
    <row r="121">
      <c r="A121" s="2" t="str">
        <f>IFERROR(__xludf.DUMMYFUNCTION("""COMPUTED_VALUE"""),"Raza, Asad")</f>
        <v>Raza, Asad</v>
      </c>
      <c r="B121" s="2" t="str">
        <f>IFERROR(__xludf.DUMMYFUNCTION("""COMPUTED_VALUE"""),"ar2632@njit.edu")</f>
        <v>ar2632@njit.edu</v>
      </c>
      <c r="C121" s="2">
        <f>IFERROR(__xludf.DUMMYFUNCTION("""COMPUTED_VALUE"""),3.1615308E7)</f>
        <v>31615308</v>
      </c>
      <c r="D121" s="2" t="str">
        <f>IFERROR(__xludf.DUMMYFUNCTION("""COMPUTED_VALUE"""),"University Lecturer, Senior")</f>
        <v>University Lecturer, Senior</v>
      </c>
    </row>
    <row r="122">
      <c r="A122" s="2" t="str">
        <f>IFERROR(__xludf.DUMMYFUNCTION("""COMPUTED_VALUE"""),"Renda, Michael")</f>
        <v>Renda, Michael</v>
      </c>
      <c r="B122" s="2" t="str">
        <f>IFERROR(__xludf.DUMMYFUNCTION("""COMPUTED_VALUE"""),"mr787@njit.edu")</f>
        <v>mr787@njit.edu</v>
      </c>
      <c r="C122" s="2">
        <f>IFERROR(__xludf.DUMMYFUNCTION("""COMPUTED_VALUE"""),3.1509279E7)</f>
        <v>31509279</v>
      </c>
      <c r="D122" s="2" t="str">
        <f>IFERROR(__xludf.DUMMYFUNCTION("""COMPUTED_VALUE"""),"Professor of Practice")</f>
        <v>Professor of Practice</v>
      </c>
    </row>
    <row r="123">
      <c r="A123" s="2" t="str">
        <f>IFERROR(__xludf.DUMMYFUNCTION("""COMPUTED_VALUE"""),"Rendon, Andrew")</f>
        <v>Rendon, Andrew</v>
      </c>
      <c r="B123" s="2" t="str">
        <f>IFERROR(__xludf.DUMMYFUNCTION("""COMPUTED_VALUE"""),"asr48@njit.edu")</f>
        <v>asr48@njit.edu</v>
      </c>
      <c r="C123" s="2">
        <f>IFERROR(__xludf.DUMMYFUNCTION("""COMPUTED_VALUE"""),3.1169409E7)</f>
        <v>31169409</v>
      </c>
      <c r="D123" s="2" t="str">
        <f>IFERROR(__xludf.DUMMYFUNCTION("""COMPUTED_VALUE"""),"Adjunct, Tier I")</f>
        <v>Adjunct, Tier I</v>
      </c>
    </row>
    <row r="124">
      <c r="A124" s="2" t="str">
        <f>IFERROR(__xludf.DUMMYFUNCTION("""COMPUTED_VALUE"""),"Reyes, Logan")</f>
        <v>Reyes, Logan</v>
      </c>
      <c r="B124" s="2" t="str">
        <f>IFERROR(__xludf.DUMMYFUNCTION("""COMPUTED_VALUE"""),"ler25@njit.edu")</f>
        <v>ler25@njit.edu</v>
      </c>
      <c r="C124" s="2">
        <f>IFERROR(__xludf.DUMMYFUNCTION("""COMPUTED_VALUE"""),3.1510796E7)</f>
        <v>31510796</v>
      </c>
      <c r="D124" s="2" t="str">
        <f>IFERROR(__xludf.DUMMYFUNCTION("""COMPUTED_VALUE"""),"Adjunct, Tier I")</f>
        <v>Adjunct, Tier I</v>
      </c>
    </row>
    <row r="125">
      <c r="A125" s="2" t="str">
        <f>IFERROR(__xludf.DUMMYFUNCTION("""COMPUTED_VALUE"""),"Rangamani, Akshay")</f>
        <v>Rangamani, Akshay</v>
      </c>
      <c r="B125" s="2" t="str">
        <f>IFERROR(__xludf.DUMMYFUNCTION("""COMPUTED_VALUE"""),"amr239@njit.edu")</f>
        <v>amr239@njit.edu</v>
      </c>
      <c r="C125" s="2">
        <f>IFERROR(__xludf.DUMMYFUNCTION("""COMPUTED_VALUE"""),3.1665024E7)</f>
        <v>31665024</v>
      </c>
      <c r="D125" s="2" t="str">
        <f>IFERROR(__xludf.DUMMYFUNCTION("""COMPUTED_VALUE"""),"Professor, Assistant")</f>
        <v>Professor, Assistant</v>
      </c>
    </row>
    <row r="126">
      <c r="A126" s="2" t="str">
        <f>IFERROR(__xludf.DUMMYFUNCTION("""COMPUTED_VALUE"""),"Roshan, Usman")</f>
        <v>Roshan, Usman</v>
      </c>
      <c r="B126" s="2" t="str">
        <f>IFERROR(__xludf.DUMMYFUNCTION("""COMPUTED_VALUE"""),"usman@njit.edu")</f>
        <v>usman@njit.edu</v>
      </c>
      <c r="C126" s="2">
        <f>IFERROR(__xludf.DUMMYFUNCTION("""COMPUTED_VALUE"""),2.1374627E7)</f>
        <v>21374627</v>
      </c>
      <c r="D126" s="2" t="str">
        <f>IFERROR(__xludf.DUMMYFUNCTION("""COMPUTED_VALUE"""),"Professor, Associate")</f>
        <v>Professor, Associate</v>
      </c>
    </row>
    <row r="127">
      <c r="A127" s="2" t="str">
        <f>IFERROR(__xludf.DUMMYFUNCTION("""COMPUTED_VALUE"""),"Rutkowski, Wallace")</f>
        <v>Rutkowski, Wallace</v>
      </c>
      <c r="B127" s="2" t="str">
        <f>IFERROR(__xludf.DUMMYFUNCTION("""COMPUTED_VALUE"""),"rutkowsk@njit.edu")</f>
        <v>rutkowsk@njit.edu</v>
      </c>
      <c r="C127" s="2">
        <f>IFERROR(__xludf.DUMMYFUNCTION("""COMPUTED_VALUE"""),2.1368056E7)</f>
        <v>21368056</v>
      </c>
      <c r="D127" s="2" t="str">
        <f>IFERROR(__xludf.DUMMYFUNCTION("""COMPUTED_VALUE"""),"University Lecturer, Senior")</f>
        <v>University Lecturer, Senior</v>
      </c>
    </row>
    <row r="128">
      <c r="A128" s="2" t="str">
        <f>IFERROR(__xludf.DUMMYFUNCTION("""COMPUTED_VALUE"""),"Sabet, Sameh")</f>
        <v>Sabet, Sameh</v>
      </c>
      <c r="B128" s="2" t="str">
        <f>IFERROR(__xludf.DUMMYFUNCTION("""COMPUTED_VALUE"""),"ssabet@njit.edu")</f>
        <v>ssabet@njit.edu</v>
      </c>
      <c r="C128" s="2">
        <f>IFERROR(__xludf.DUMMYFUNCTION("""COMPUTED_VALUE"""),2.1221864E7)</f>
        <v>21221864</v>
      </c>
      <c r="D128" s="2" t="str">
        <f>IFERROR(__xludf.DUMMYFUNCTION("""COMPUTED_VALUE"""),"Adjunct, Tier III")</f>
        <v>Adjunct, Tier III</v>
      </c>
    </row>
    <row r="129">
      <c r="A129" s="2" t="str">
        <f>IFERROR(__xludf.DUMMYFUNCTION("""COMPUTED_VALUE"""),"Wang, Lijing")</f>
        <v>Wang, Lijing</v>
      </c>
      <c r="B129" s="2" t="str">
        <f>IFERROR(__xludf.DUMMYFUNCTION("""COMPUTED_VALUE"""),"lw29@njit.edu")</f>
        <v>lw29@njit.edu</v>
      </c>
      <c r="C129" s="2">
        <f>IFERROR(__xludf.DUMMYFUNCTION("""COMPUTED_VALUE"""),3.1609712E7)</f>
        <v>31609712</v>
      </c>
      <c r="D129" s="2" t="str">
        <f>IFERROR(__xludf.DUMMYFUNCTION("""COMPUTED_VALUE"""),"Professor, Assistant")</f>
        <v>Professor, Assistant</v>
      </c>
    </row>
    <row r="130">
      <c r="A130" s="2" t="str">
        <f>IFERROR(__xludf.DUMMYFUNCTION("""COMPUTED_VALUE"""),"Senesy, Stanley")</f>
        <v>Senesy, Stanley</v>
      </c>
      <c r="B130" s="2" t="str">
        <f>IFERROR(__xludf.DUMMYFUNCTION("""COMPUTED_VALUE"""),"senesy@njit.edu")</f>
        <v>senesy@njit.edu</v>
      </c>
      <c r="C130" s="2">
        <f>IFERROR(__xludf.DUMMYFUNCTION("""COMPUTED_VALUE"""),2.1336697E7)</f>
        <v>21336697</v>
      </c>
      <c r="D130" s="2" t="str">
        <f>IFERROR(__xludf.DUMMYFUNCTION("""COMPUTED_VALUE"""),"University Lecturer, Senior")</f>
        <v>University Lecturer, Senior</v>
      </c>
    </row>
    <row r="131">
      <c r="A131" s="2" t="str">
        <f>IFERROR(__xludf.DUMMYFUNCTION("""COMPUTED_VALUE"""),"Sequeira, Marc")</f>
        <v>Sequeira, Marc</v>
      </c>
      <c r="B131" s="2" t="str">
        <f>IFERROR(__xludf.DUMMYFUNCTION("""COMPUTED_VALUE"""),"sequeira@njit.edu")</f>
        <v>sequeira@njit.edu</v>
      </c>
      <c r="C131" s="2">
        <f>IFERROR(__xludf.DUMMYFUNCTION("""COMPUTED_VALUE"""),2.1250164E7)</f>
        <v>21250164</v>
      </c>
      <c r="D131" s="2" t="str">
        <f>IFERROR(__xludf.DUMMYFUNCTION("""COMPUTED_VALUE"""),"University Lecturer, Senior")</f>
        <v>University Lecturer, Senior</v>
      </c>
    </row>
    <row r="132">
      <c r="A132" s="2" t="str">
        <f>IFERROR(__xludf.DUMMYFUNCTION("""COMPUTED_VALUE"""),"Wang, Lingxiao")</f>
        <v>Wang, Lingxiao</v>
      </c>
      <c r="B132" s="2" t="str">
        <f>IFERROR(__xludf.DUMMYFUNCTION("""COMPUTED_VALUE"""),"lw324@njit.edu")</f>
        <v>lw324@njit.edu</v>
      </c>
      <c r="C132" s="2">
        <f>IFERROR(__xludf.DUMMYFUNCTION("""COMPUTED_VALUE"""),3.1709849E7)</f>
        <v>31709849</v>
      </c>
      <c r="D132" s="2" t="str">
        <f>IFERROR(__xludf.DUMMYFUNCTION("""COMPUTED_VALUE"""),"Professor, Assistant")</f>
        <v>Professor, Assistant</v>
      </c>
    </row>
    <row r="133">
      <c r="A133" s="2" t="str">
        <f>IFERROR(__xludf.DUMMYFUNCTION("""COMPUTED_VALUE"""),"Wu, Chase")</f>
        <v>Wu, Chase</v>
      </c>
      <c r="B133" s="2" t="str">
        <f>IFERROR(__xludf.DUMMYFUNCTION("""COMPUTED_VALUE"""),"chasewu@njit.edu")</f>
        <v>chasewu@njit.edu</v>
      </c>
      <c r="C133" s="2">
        <f>IFERROR(__xludf.DUMMYFUNCTION("""COMPUTED_VALUE"""),3.1364761E7)</f>
        <v>31364761</v>
      </c>
      <c r="D133" s="2" t="str">
        <f>IFERROR(__xludf.DUMMYFUNCTION("""COMPUTED_VALUE"""),"Professor")</f>
        <v>Professor</v>
      </c>
    </row>
    <row r="134">
      <c r="A134" s="2" t="str">
        <f>IFERROR(__xludf.DUMMYFUNCTION("""COMPUTED_VALUE"""),"Xu, Mengjia")</f>
        <v>Xu, Mengjia</v>
      </c>
      <c r="B134" s="2" t="str">
        <f>IFERROR(__xludf.DUMMYFUNCTION("""COMPUTED_VALUE"""),"mx6@njit.edu")</f>
        <v>mx6@njit.edu</v>
      </c>
      <c r="C134" s="2">
        <f>IFERROR(__xludf.DUMMYFUNCTION("""COMPUTED_VALUE"""),3.1608766E7)</f>
        <v>31608766</v>
      </c>
      <c r="D134" s="2" t="str">
        <f>IFERROR(__xludf.DUMMYFUNCTION("""COMPUTED_VALUE"""),"Professor, Assistant")</f>
        <v>Professor, Assistant</v>
      </c>
    </row>
    <row r="135">
      <c r="A135" s="2" t="str">
        <f>IFERROR(__xludf.DUMMYFUNCTION("""COMPUTED_VALUE"""),"Siddique, Raihan")</f>
        <v>Siddique, Raihan</v>
      </c>
      <c r="B135" s="2" t="str">
        <f>IFERROR(__xludf.DUMMYFUNCTION("""COMPUTED_VALUE"""),"rs792@njit.edu")</f>
        <v>rs792@njit.edu</v>
      </c>
      <c r="C135" s="2">
        <f>IFERROR(__xludf.DUMMYFUNCTION("""COMPUTED_VALUE"""),3.1406039E7)</f>
        <v>31406039</v>
      </c>
      <c r="D135" s="2" t="str">
        <f>IFERROR(__xludf.DUMMYFUNCTION("""COMPUTED_VALUE"""),"Adjunct, Tier II")</f>
        <v>Adjunct, Tier II</v>
      </c>
    </row>
    <row r="136">
      <c r="A136" s="2" t="str">
        <f>IFERROR(__xludf.DUMMYFUNCTION("""COMPUTED_VALUE"""),"Sidhu, Mehtab")</f>
        <v>Sidhu, Mehtab</v>
      </c>
      <c r="B136" s="2" t="str">
        <f>IFERROR(__xludf.DUMMYFUNCTION("""COMPUTED_VALUE"""),"mss87@njit.edu")</f>
        <v>mss87@njit.edu</v>
      </c>
      <c r="C136" s="2">
        <f>IFERROR(__xludf.DUMMYFUNCTION("""COMPUTED_VALUE"""),3.1336826E7)</f>
        <v>31336826</v>
      </c>
      <c r="D136" s="2" t="str">
        <f>IFERROR(__xludf.DUMMYFUNCTION("""COMPUTED_VALUE"""),"PhD student")</f>
        <v>PhD student</v>
      </c>
    </row>
    <row r="137">
      <c r="A137" s="2" t="str">
        <f>IFERROR(__xludf.DUMMYFUNCTION("""COMPUTED_VALUE"""),"Sims, Deborah")</f>
        <v>Sims, Deborah</v>
      </c>
      <c r="B137" s="2" t="str">
        <f>IFERROR(__xludf.DUMMYFUNCTION("""COMPUTED_VALUE"""),"sims@njit.edu")</f>
        <v>sims@njit.edu</v>
      </c>
      <c r="C137" s="2">
        <f>IFERROR(__xludf.DUMMYFUNCTION("""COMPUTED_VALUE"""),2.1231487E7)</f>
        <v>21231487</v>
      </c>
      <c r="D137" s="2" t="str">
        <f>IFERROR(__xludf.DUMMYFUNCTION("""COMPUTED_VALUE"""),"Adjunct, Tier I")</f>
        <v>Adjunct, Tier I</v>
      </c>
    </row>
    <row r="138">
      <c r="A138" s="2" t="str">
        <f>IFERROR(__xludf.DUMMYFUNCTION("""COMPUTED_VALUE"""),"Zhang, Shuai")</f>
        <v>Zhang, Shuai</v>
      </c>
      <c r="B138" s="2" t="str">
        <f>IFERROR(__xludf.DUMMYFUNCTION("""COMPUTED_VALUE"""),"sz457@njit.edu")</f>
        <v>sz457@njit.edu</v>
      </c>
      <c r="C138" s="2">
        <f>IFERROR(__xludf.DUMMYFUNCTION("""COMPUTED_VALUE"""),3.1664414E7)</f>
        <v>31664414</v>
      </c>
      <c r="D138" s="2" t="str">
        <f>IFERROR(__xludf.DUMMYFUNCTION("""COMPUTED_VALUE"""),"Professor, Assistant")</f>
        <v>Professor, Assistant</v>
      </c>
    </row>
    <row r="139">
      <c r="A139" s="2" t="str">
        <f>IFERROR(__xludf.DUMMYFUNCTION("""COMPUTED_VALUE"""),"Soltis, Jolanta")</f>
        <v>Soltis, Jolanta</v>
      </c>
      <c r="B139" s="2" t="str">
        <f>IFERROR(__xludf.DUMMYFUNCTION("""COMPUTED_VALUE"""),"soltis@njit.edu")</f>
        <v>soltis@njit.edu</v>
      </c>
      <c r="C139" s="2">
        <f>IFERROR(__xludf.DUMMYFUNCTION("""COMPUTED_VALUE"""),2.1233664E7)</f>
        <v>21233664</v>
      </c>
      <c r="D139" s="2" t="str">
        <f>IFERROR(__xludf.DUMMYFUNCTION("""COMPUTED_VALUE"""),"Adjunct, Tier III")</f>
        <v>Adjunct, Tier III</v>
      </c>
    </row>
    <row r="140">
      <c r="A140" s="2" t="str">
        <f>IFERROR(__xludf.DUMMYFUNCTION("""COMPUTED_VALUE"""),"Spirollari, Junilda")</f>
        <v>Spirollari, Junilda</v>
      </c>
      <c r="B140" s="2" t="str">
        <f>IFERROR(__xludf.DUMMYFUNCTION("""COMPUTED_VALUE"""),"js9@njit.edu")</f>
        <v>js9@njit.edu</v>
      </c>
      <c r="C140" s="2">
        <f>IFERROR(__xludf.DUMMYFUNCTION("""COMPUTED_VALUE"""),2.1230074E7)</f>
        <v>21230074</v>
      </c>
      <c r="D140" s="2" t="str">
        <f>IFERROR(__xludf.DUMMYFUNCTION("""COMPUTED_VALUE"""),"University Lecturer, Senior")</f>
        <v>University Lecturer, Senior</v>
      </c>
    </row>
    <row r="141">
      <c r="A141" s="2" t="str">
        <f>IFERROR(__xludf.DUMMYFUNCTION("""COMPUTED_VALUE"""),"Spryszynski, Adam")</f>
        <v>Spryszynski, Adam</v>
      </c>
      <c r="B141" s="2" t="str">
        <f>IFERROR(__xludf.DUMMYFUNCTION("""COMPUTED_VALUE"""),"as2569@njit.edu")</f>
        <v>as2569@njit.edu</v>
      </c>
      <c r="C141" s="2">
        <f>IFERROR(__xludf.DUMMYFUNCTION("""COMPUTED_VALUE"""),3.1346326E7)</f>
        <v>31346326</v>
      </c>
      <c r="D141" s="2" t="str">
        <f>IFERROR(__xludf.DUMMYFUNCTION("""COMPUTED_VALUE"""),"University Lecturer")</f>
        <v>University Lecturer</v>
      </c>
    </row>
    <row r="142">
      <c r="A142" s="2" t="str">
        <f>IFERROR(__xludf.DUMMYFUNCTION("""COMPUTED_VALUE"""),"Statica, Robert")</f>
        <v>Statica, Robert</v>
      </c>
      <c r="B142" s="2" t="str">
        <f>IFERROR(__xludf.DUMMYFUNCTION("""COMPUTED_VALUE"""),"statica@njit.edu")</f>
        <v>statica@njit.edu</v>
      </c>
      <c r="C142" s="2">
        <f>IFERROR(__xludf.DUMMYFUNCTION("""COMPUTED_VALUE"""),2.1290821E7)</f>
        <v>21290821</v>
      </c>
      <c r="D142" s="2" t="str">
        <f>IFERROR(__xludf.DUMMYFUNCTION("""COMPUTED_VALUE"""),"University Lecturer, Senior")</f>
        <v>University Lecturer, Senior</v>
      </c>
    </row>
    <row r="143">
      <c r="A143" s="2" t="str">
        <f>IFERROR(__xludf.DUMMYFUNCTION("""COMPUTED_VALUE"""),"Suero, Brany")</f>
        <v>Suero, Brany</v>
      </c>
      <c r="B143" s="2" t="str">
        <f>IFERROR(__xludf.DUMMYFUNCTION("""COMPUTED_VALUE"""),"bds37@njit.edu")</f>
        <v>bds37@njit.edu</v>
      </c>
      <c r="C143" s="2">
        <f>IFERROR(__xludf.DUMMYFUNCTION("""COMPUTED_VALUE"""),3.1383441E7)</f>
        <v>31383441</v>
      </c>
      <c r="D143" s="2" t="str">
        <f>IFERROR(__xludf.DUMMYFUNCTION("""COMPUTED_VALUE"""),"Adjunct, Tier I")</f>
        <v>Adjunct, Tier I</v>
      </c>
    </row>
    <row r="144">
      <c r="A144" s="2" t="str">
        <f>IFERROR(__xludf.DUMMYFUNCTION("""COMPUTED_VALUE"""),"Summerfield, Trevor")</f>
        <v>Summerfield, Trevor</v>
      </c>
      <c r="B144" s="2" t="str">
        <f>IFERROR(__xludf.DUMMYFUNCTION("""COMPUTED_VALUE"""),"ts249@njit.edu")</f>
        <v>ts249@njit.edu</v>
      </c>
      <c r="C144" s="2">
        <f>IFERROR(__xludf.DUMMYFUNCTION("""COMPUTED_VALUE"""),3.1088701E7)</f>
        <v>31088701</v>
      </c>
      <c r="D144" s="2" t="str">
        <f>IFERROR(__xludf.DUMMYFUNCTION("""COMPUTED_VALUE"""),"Adjunct, Tier I")</f>
        <v>Adjunct, Tier I</v>
      </c>
    </row>
    <row r="145">
      <c r="A145" s="2" t="str">
        <f>IFERROR(__xludf.DUMMYFUNCTION("""COMPUTED_VALUE"""),"Talasila, Manoop")</f>
        <v>Talasila, Manoop</v>
      </c>
      <c r="B145" s="2" t="str">
        <f>IFERROR(__xludf.DUMMYFUNCTION("""COMPUTED_VALUE"""),"mt57@njit.edu")</f>
        <v>mt57@njit.edu</v>
      </c>
      <c r="C145" s="2">
        <f>IFERROR(__xludf.DUMMYFUNCTION("""COMPUTED_VALUE"""),2.1638045E7)</f>
        <v>21638045</v>
      </c>
      <c r="D145" s="2" t="str">
        <f>IFERROR(__xludf.DUMMYFUNCTION("""COMPUTED_VALUE"""),"Adjunct, Tier II")</f>
        <v>Adjunct, Tier II</v>
      </c>
    </row>
    <row r="146">
      <c r="A146" s="2" t="str">
        <f>IFERROR(__xludf.DUMMYFUNCTION("""COMPUTED_VALUE"""),"Talukdar, Bilas")</f>
        <v>Talukdar, Bilas</v>
      </c>
      <c r="B146" s="2" t="str">
        <f>IFERROR(__xludf.DUMMYFUNCTION("""COMPUTED_VALUE"""),"bt26@njit.edu")</f>
        <v>bt26@njit.edu</v>
      </c>
      <c r="C146" s="2">
        <f>IFERROR(__xludf.DUMMYFUNCTION("""COMPUTED_VALUE"""),3.1533964E7)</f>
        <v>31533964</v>
      </c>
      <c r="D146" s="2" t="str">
        <f>IFERROR(__xludf.DUMMYFUNCTION("""COMPUTED_VALUE"""),"PhD student")</f>
        <v>PhD student</v>
      </c>
    </row>
    <row r="147">
      <c r="A147" s="2" t="str">
        <f>IFERROR(__xludf.DUMMYFUNCTION("""COMPUTED_VALUE"""),"Teran, Segundo")</f>
        <v>Teran, Segundo</v>
      </c>
      <c r="B147" s="2" t="str">
        <f>IFERROR(__xludf.DUMMYFUNCTION("""COMPUTED_VALUE"""),"segundo@njit.edu")</f>
        <v>segundo@njit.edu</v>
      </c>
      <c r="C147" s="2">
        <f>IFERROR(__xludf.DUMMYFUNCTION("""COMPUTED_VALUE"""),3.1382163E7)</f>
        <v>31382163</v>
      </c>
      <c r="D147" s="2" t="str">
        <f>IFERROR(__xludf.DUMMYFUNCTION("""COMPUTED_VALUE"""),"Adjunct, Tier I")</f>
        <v>Adjunct, Tier I</v>
      </c>
    </row>
    <row r="148">
      <c r="A148" s="2" t="str">
        <f>IFERROR(__xludf.DUMMYFUNCTION("""COMPUTED_VALUE"""),"Ancis, Julie ")</f>
        <v>Ancis, Julie </v>
      </c>
      <c r="B148" s="2" t="str">
        <f>IFERROR(__xludf.DUMMYFUNCTION("""COMPUTED_VALUE"""),"jra49@njit.edu")</f>
        <v>jra49@njit.edu</v>
      </c>
      <c r="C148" s="2">
        <f>IFERROR(__xludf.DUMMYFUNCTION("""COMPUTED_VALUE"""),3.1527048E7)</f>
        <v>31527048</v>
      </c>
      <c r="D148" s="2" t="str">
        <f>IFERROR(__xludf.DUMMYFUNCTION("""COMPUTED_VALUE"""),"Professor")</f>
        <v>Professor</v>
      </c>
    </row>
    <row r="149">
      <c r="A149" s="2" t="str">
        <f>IFERROR(__xludf.DUMMYFUNCTION("""COMPUTED_VALUE"""),"Toegel, Matthew")</f>
        <v>Toegel, Matthew</v>
      </c>
      <c r="B149" s="2" t="str">
        <f>IFERROR(__xludf.DUMMYFUNCTION("""COMPUTED_VALUE"""),"mt85@njit.edu")</f>
        <v>mt85@njit.edu</v>
      </c>
      <c r="C149" s="2">
        <f>IFERROR(__xludf.DUMMYFUNCTION("""COMPUTED_VALUE"""),2.1744527E7)</f>
        <v>21744527</v>
      </c>
      <c r="D149" s="2" t="str">
        <f>IFERROR(__xludf.DUMMYFUNCTION("""COMPUTED_VALUE"""),"University Lecturer")</f>
        <v>University Lecturer</v>
      </c>
    </row>
    <row r="150">
      <c r="A150" s="2" t="str">
        <f>IFERROR(__xludf.DUMMYFUNCTION("""COMPUTED_VALUE"""),"Tolboom, Ryan")</f>
        <v>Tolboom, Ryan</v>
      </c>
      <c r="B150" s="2" t="str">
        <f>IFERROR(__xludf.DUMMYFUNCTION("""COMPUTED_VALUE"""),"rt494@njit.edu")</f>
        <v>rt494@njit.edu</v>
      </c>
      <c r="C150" s="2">
        <f>IFERROR(__xludf.DUMMYFUNCTION("""COMPUTED_VALUE"""),2.1298514E7)</f>
        <v>21298514</v>
      </c>
      <c r="D150" s="2" t="str">
        <f>IFERROR(__xludf.DUMMYFUNCTION("""COMPUTED_VALUE"""),"University Lecturer")</f>
        <v>University Lecturer</v>
      </c>
    </row>
    <row r="151">
      <c r="A151" s="2" t="str">
        <f>IFERROR(__xludf.DUMMYFUNCTION("""COMPUTED_VALUE"""),"Tran, Khang")</f>
        <v>Tran, Khang</v>
      </c>
      <c r="B151" s="2" t="str">
        <f>IFERROR(__xludf.DUMMYFUNCTION("""COMPUTED_VALUE"""),"kt36@njit.edu")</f>
        <v>kt36@njit.edu</v>
      </c>
      <c r="C151" s="2">
        <f>IFERROR(__xludf.DUMMYFUNCTION("""COMPUTED_VALUE"""),3.1532161E7)</f>
        <v>31532161</v>
      </c>
      <c r="D151" s="2" t="str">
        <f>IFERROR(__xludf.DUMMYFUNCTION("""COMPUTED_VALUE"""),"PhD student")</f>
        <v>PhD student</v>
      </c>
    </row>
    <row r="152">
      <c r="A152" s="2" t="str">
        <f>IFERROR(__xludf.DUMMYFUNCTION("""COMPUTED_VALUE"""),"Cakareski, Jakov")</f>
        <v>Cakareski, Jakov</v>
      </c>
      <c r="B152" s="2" t="str">
        <f>IFERROR(__xludf.DUMMYFUNCTION("""COMPUTED_VALUE"""),"jacobcha@njit.edu")</f>
        <v>jacobcha@njit.edu</v>
      </c>
      <c r="C152" s="2">
        <f>IFERROR(__xludf.DUMMYFUNCTION("""COMPUTED_VALUE"""),3.1322438E7)</f>
        <v>31322438</v>
      </c>
      <c r="D152" s="2" t="str">
        <f>IFERROR(__xludf.DUMMYFUNCTION("""COMPUTED_VALUE"""),"Professor, Associate")</f>
        <v>Professor, Associate</v>
      </c>
    </row>
    <row r="153">
      <c r="A153" s="2" t="str">
        <f>IFERROR(__xludf.DUMMYFUNCTION("""COMPUTED_VALUE"""),"Ullman, David")</f>
        <v>Ullman, David</v>
      </c>
      <c r="B153" s="2" t="str">
        <f>IFERROR(__xludf.DUMMYFUNCTION("""COMPUTED_VALUE"""),"ullman@njit.edu")</f>
        <v>ullman@njit.edu</v>
      </c>
      <c r="C153" s="2">
        <f>IFERROR(__xludf.DUMMYFUNCTION("""COMPUTED_VALUE"""),2.1287845E7)</f>
        <v>21287845</v>
      </c>
      <c r="D153" s="2" t="str">
        <f>IFERROR(__xludf.DUMMYFUNCTION("""COMPUTED_VALUE"""),"University Lecturer, Senior")</f>
        <v>University Lecturer, Senior</v>
      </c>
    </row>
    <row r="154">
      <c r="A154" s="2" t="str">
        <f>IFERROR(__xludf.DUMMYFUNCTION("""COMPUTED_VALUE"""),"Vaish, Prabhat")</f>
        <v>Vaish, Prabhat</v>
      </c>
      <c r="B154" s="2" t="str">
        <f>IFERROR(__xludf.DUMMYFUNCTION("""COMPUTED_VALUE"""),"pvaish@njit.edu")</f>
        <v>pvaish@njit.edu</v>
      </c>
      <c r="C154" s="2">
        <f>IFERROR(__xludf.DUMMYFUNCTION("""COMPUTED_VALUE"""),3.1479354E7)</f>
        <v>31479354</v>
      </c>
      <c r="D154" s="2" t="str">
        <f>IFERROR(__xludf.DUMMYFUNCTION("""COMPUTED_VALUE"""),"University Lecturer, Senior")</f>
        <v>University Lecturer, Senior</v>
      </c>
    </row>
    <row r="155">
      <c r="A155" s="2" t="str">
        <f>IFERROR(__xludf.DUMMYFUNCTION("""COMPUTED_VALUE"""),"Cartwright, Mark")</f>
        <v>Cartwright, Mark</v>
      </c>
      <c r="B155" s="2" t="str">
        <f>IFERROR(__xludf.DUMMYFUNCTION("""COMPUTED_VALUE"""),"mc232@njit.edu")</f>
        <v>mc232@njit.edu</v>
      </c>
      <c r="C155" s="2">
        <f>IFERROR(__xludf.DUMMYFUNCTION("""COMPUTED_VALUE"""),3.1542745E7)</f>
        <v>31542745</v>
      </c>
      <c r="D155" s="2" t="str">
        <f>IFERROR(__xludf.DUMMYFUNCTION("""COMPUTED_VALUE"""),"Professor, Assistant")</f>
        <v>Professor, Assistant</v>
      </c>
    </row>
    <row r="156">
      <c r="A156" s="2" t="str">
        <f>IFERROR(__xludf.DUMMYFUNCTION("""COMPUTED_VALUE"""),"Vohra, Rosemina")</f>
        <v>Vohra, Rosemina</v>
      </c>
      <c r="B156" s="2" t="str">
        <f>IFERROR(__xludf.DUMMYFUNCTION("""COMPUTED_VALUE"""),"rav6@njit.edu")</f>
        <v>rav6@njit.edu</v>
      </c>
      <c r="C156" s="2">
        <f>IFERROR(__xludf.DUMMYFUNCTION("""COMPUTED_VALUE"""),2.1221029E7)</f>
        <v>21221029</v>
      </c>
      <c r="D156" s="2" t="str">
        <f>IFERROR(__xludf.DUMMYFUNCTION("""COMPUTED_VALUE"""),"University Lecturer, Senior")</f>
        <v>University Lecturer, Senior</v>
      </c>
    </row>
    <row r="157">
      <c r="A157" s="2" t="str">
        <f>IFERROR(__xludf.DUMMYFUNCTION("""COMPUTED_VALUE"""),"Walsh, Sean")</f>
        <v>Walsh, Sean</v>
      </c>
      <c r="B157" s="2" t="str">
        <f>IFERROR(__xludf.DUMMYFUNCTION("""COMPUTED_VALUE"""),"swalsh@njit.edu")</f>
        <v>swalsh@njit.edu</v>
      </c>
      <c r="C157" s="2">
        <f>IFERROR(__xludf.DUMMYFUNCTION("""COMPUTED_VALUE"""),3.1457146E7)</f>
        <v>31457146</v>
      </c>
      <c r="D157" s="2" t="str">
        <f>IFERROR(__xludf.DUMMYFUNCTION("""COMPUTED_VALUE"""),"Adjunct, Tier I")</f>
        <v>Adjunct, Tier I</v>
      </c>
    </row>
    <row r="158">
      <c r="A158" s="2" t="str">
        <f>IFERROR(__xludf.DUMMYFUNCTION("""COMPUTED_VALUE"""),"Daher, Salam")</f>
        <v>Daher, Salam</v>
      </c>
      <c r="B158" s="2" t="str">
        <f>IFERROR(__xludf.DUMMYFUNCTION("""COMPUTED_VALUE"""),"daher@njit.edu")</f>
        <v>daher@njit.edu</v>
      </c>
      <c r="C158" s="2">
        <f>IFERROR(__xludf.DUMMYFUNCTION("""COMPUTED_VALUE"""),3.151404E7)</f>
        <v>31514040</v>
      </c>
      <c r="D158" s="2" t="str">
        <f>IFERROR(__xludf.DUMMYFUNCTION("""COMPUTED_VALUE"""),"Professor, Assistant")</f>
        <v>Professor, Assistant</v>
      </c>
    </row>
    <row r="159">
      <c r="A159" s="2" t="str">
        <f>IFERROR(__xludf.DUMMYFUNCTION("""COMPUTED_VALUE"""),"Deek, Fadi")</f>
        <v>Deek, Fadi</v>
      </c>
      <c r="B159" s="2" t="str">
        <f>IFERROR(__xludf.DUMMYFUNCTION("""COMPUTED_VALUE"""),"deek@njit.edu")</f>
        <v>deek@njit.edu</v>
      </c>
      <c r="C159" s="2">
        <f>IFERROR(__xludf.DUMMYFUNCTION("""COMPUTED_VALUE"""),2.1305816E7)</f>
        <v>21305816</v>
      </c>
      <c r="D159" s="2" t="str">
        <f>IFERROR(__xludf.DUMMYFUNCTION("""COMPUTED_VALUE"""),"Professor")</f>
        <v>Professor</v>
      </c>
    </row>
    <row r="160">
      <c r="A160" s="2" t="str">
        <f>IFERROR(__xludf.DUMMYFUNCTION("""COMPUTED_VALUE"""),"Halper, Michael")</f>
        <v>Halper, Michael</v>
      </c>
      <c r="B160" s="2" t="str">
        <f>IFERROR(__xludf.DUMMYFUNCTION("""COMPUTED_VALUE"""),"halper@njit.edu")</f>
        <v>halper@njit.edu</v>
      </c>
      <c r="C160" s="2">
        <f>IFERROR(__xludf.DUMMYFUNCTION("""COMPUTED_VALUE"""),2.1197604E7)</f>
        <v>21197604</v>
      </c>
      <c r="D160" s="2" t="str">
        <f>IFERROR(__xludf.DUMMYFUNCTION("""COMPUTED_VALUE"""),"Professor")</f>
        <v>Professor</v>
      </c>
    </row>
    <row r="161">
      <c r="A161" s="2" t="str">
        <f>IFERROR(__xludf.DUMMYFUNCTION("""COMPUTED_VALUE"""),"Hoover, Amy")</f>
        <v>Hoover, Amy</v>
      </c>
      <c r="B161" s="2" t="str">
        <f>IFERROR(__xludf.DUMMYFUNCTION("""COMPUTED_VALUE"""),"ahoover@njit.edu")</f>
        <v>ahoover@njit.edu</v>
      </c>
      <c r="C161" s="2">
        <f>IFERROR(__xludf.DUMMYFUNCTION("""COMPUTED_VALUE"""),3.1454162E7)</f>
        <v>31454162</v>
      </c>
      <c r="D161" s="2" t="str">
        <f>IFERROR(__xludf.DUMMYFUNCTION("""COMPUTED_VALUE"""),"Professor, Assistant")</f>
        <v>Professor, Assistant</v>
      </c>
    </row>
    <row r="162">
      <c r="A162" s="2" t="str">
        <f>IFERROR(__xludf.DUMMYFUNCTION("""COMPUTED_VALUE"""),"Wang, Wenbo")</f>
        <v>Wang, Wenbo</v>
      </c>
      <c r="B162" s="2" t="str">
        <f>IFERROR(__xludf.DUMMYFUNCTION("""COMPUTED_VALUE"""),"ww6@njit.edu")</f>
        <v>ww6@njit.edu</v>
      </c>
      <c r="C162" s="2">
        <f>IFERROR(__xludf.DUMMYFUNCTION("""COMPUTED_VALUE"""),3.1522736E7)</f>
        <v>31522736</v>
      </c>
      <c r="D162" s="2" t="str">
        <f>IFERROR(__xludf.DUMMYFUNCTION("""COMPUTED_VALUE"""),"PhD student")</f>
        <v>PhD student</v>
      </c>
    </row>
    <row r="163">
      <c r="A163" s="2" t="str">
        <f>IFERROR(__xludf.DUMMYFUNCTION("""COMPUTED_VALUE"""),"Watrous-deVersterre, Lori")</f>
        <v>Watrous-deVersterre, Lori</v>
      </c>
      <c r="B163" s="2" t="str">
        <f>IFERROR(__xludf.DUMMYFUNCTION("""COMPUTED_VALUE"""),"llw2@njit.edu")</f>
        <v>llw2@njit.edu</v>
      </c>
      <c r="C163" s="2">
        <f>IFERROR(__xludf.DUMMYFUNCTION("""COMPUTED_VALUE"""),2.1639531E7)</f>
        <v>21639531</v>
      </c>
      <c r="D163" s="2" t="str">
        <f>IFERROR(__xludf.DUMMYFUNCTION("""COMPUTED_VALUE"""),"University Lecturer, Senior")</f>
        <v>University Lecturer, Senior</v>
      </c>
    </row>
    <row r="164">
      <c r="A164" s="2" t="str">
        <f>IFERROR(__xludf.DUMMYFUNCTION("""COMPUTED_VALUE"""),"Lee, Michael")</f>
        <v>Lee, Michael</v>
      </c>
      <c r="B164" s="2" t="str">
        <f>IFERROR(__xludf.DUMMYFUNCTION("""COMPUTED_VALUE"""),"mjlee@njit.edu")</f>
        <v>mjlee@njit.edu</v>
      </c>
      <c r="C164" s="2">
        <f>IFERROR(__xludf.DUMMYFUNCTION("""COMPUTED_VALUE"""),3.1380266E7)</f>
        <v>31380266</v>
      </c>
      <c r="D164" s="2" t="str">
        <f>IFERROR(__xludf.DUMMYFUNCTION("""COMPUTED_VALUE"""),"Professor, Associate")</f>
        <v>Professor, Associate</v>
      </c>
    </row>
    <row r="165">
      <c r="A165" s="2" t="str">
        <f>IFERROR(__xludf.DUMMYFUNCTION("""COMPUTED_VALUE"""),"Lee, Sooyeon")</f>
        <v>Lee, Sooyeon</v>
      </c>
      <c r="B165" s="2" t="str">
        <f>IFERROR(__xludf.DUMMYFUNCTION("""COMPUTED_VALUE"""),"sl287@njit.edu")</f>
        <v>sl287@njit.edu</v>
      </c>
      <c r="C165" s="2">
        <f>IFERROR(__xludf.DUMMYFUNCTION("""COMPUTED_VALUE"""),3.1610044E7)</f>
        <v>31610044</v>
      </c>
      <c r="D165" s="2" t="str">
        <f>IFERROR(__xludf.DUMMYFUNCTION("""COMPUTED_VALUE"""),"Professor, Assistant")</f>
        <v>Professor, Assistant</v>
      </c>
    </row>
    <row r="166">
      <c r="A166" s="2" t="str">
        <f>IFERROR(__xludf.DUMMYFUNCTION("""COMPUTED_VALUE"""),"Will, Todd")</f>
        <v>Will, Todd</v>
      </c>
      <c r="B166" s="2" t="str">
        <f>IFERROR(__xludf.DUMMYFUNCTION("""COMPUTED_VALUE"""),"tcw@njit.edu")</f>
        <v>tcw@njit.edu</v>
      </c>
      <c r="C166" s="2">
        <f>IFERROR(__xludf.DUMMYFUNCTION("""COMPUTED_VALUE"""),2.1227684E7)</f>
        <v>21227684</v>
      </c>
      <c r="D166" s="2" t="str">
        <f>IFERROR(__xludf.DUMMYFUNCTION("""COMPUTED_VALUE"""),"Adjunct, Tier III")</f>
        <v>Adjunct, Tier III</v>
      </c>
    </row>
    <row r="167">
      <c r="A167" s="2" t="str">
        <f>IFERROR(__xludf.DUMMYFUNCTION("""COMPUTED_VALUE"""),"Williams, Keith")</f>
        <v>Williams, Keith</v>
      </c>
      <c r="B167" s="2" t="str">
        <f>IFERROR(__xludf.DUMMYFUNCTION("""COMPUTED_VALUE"""),"kwilliam@njit.edu")</f>
        <v>kwilliam@njit.edu</v>
      </c>
      <c r="C167" s="2">
        <f>IFERROR(__xludf.DUMMYFUNCTION("""COMPUTED_VALUE"""),2.1473959E7)</f>
        <v>21473959</v>
      </c>
      <c r="D167" s="2" t="str">
        <f>IFERROR(__xludf.DUMMYFUNCTION("""COMPUTED_VALUE"""),"University Lecturer, Senior")</f>
        <v>University Lecturer, Senior</v>
      </c>
    </row>
    <row r="168">
      <c r="A168" s="2" t="str">
        <f>IFERROR(__xludf.DUMMYFUNCTION("""COMPUTED_VALUE"""),"Malkin, Nathan")</f>
        <v>Malkin, Nathan</v>
      </c>
      <c r="B168" s="2" t="str">
        <f>IFERROR(__xludf.DUMMYFUNCTION("""COMPUTED_VALUE"""),"nm886@njit.edu")</f>
        <v>nm886@njit.edu</v>
      </c>
      <c r="C168" s="2">
        <f>IFERROR(__xludf.DUMMYFUNCTION("""COMPUTED_VALUE"""),3.1655778E7)</f>
        <v>31655778</v>
      </c>
      <c r="D168" s="2" t="str">
        <f>IFERROR(__xludf.DUMMYFUNCTION("""COMPUTED_VALUE"""),"Professor, Assistant")</f>
        <v>Professor, Assistant</v>
      </c>
    </row>
    <row r="169">
      <c r="A169" s="2" t="str">
        <f>IFERROR(__xludf.DUMMYFUNCTION("""COMPUTED_VALUE"""),"Pradhan, Alisha")</f>
        <v>Pradhan, Alisha</v>
      </c>
      <c r="B169" s="2" t="str">
        <f>IFERROR(__xludf.DUMMYFUNCTION("""COMPUTED_VALUE"""),"ap2972@njit.edu")</f>
        <v>ap2972@njit.edu</v>
      </c>
      <c r="C169" s="2">
        <f>IFERROR(__xludf.DUMMYFUNCTION("""COMPUTED_VALUE"""),3.1666885E7)</f>
        <v>31666885</v>
      </c>
      <c r="D169" s="2" t="str">
        <f>IFERROR(__xludf.DUMMYFUNCTION("""COMPUTED_VALUE"""),"Professor, Assistant")</f>
        <v>Professor, Assistant</v>
      </c>
    </row>
    <row r="170">
      <c r="A170" s="2" t="str">
        <f>IFERROR(__xludf.DUMMYFUNCTION("""COMPUTED_VALUE"""),"Truesdell, Erin")</f>
        <v>Truesdell, Erin</v>
      </c>
      <c r="B170" s="2" t="str">
        <f>IFERROR(__xludf.DUMMYFUNCTION("""COMPUTED_VALUE"""),"ejt25@njit.edu")</f>
        <v>ejt25@njit.edu</v>
      </c>
      <c r="C170" s="2">
        <f>IFERROR(__xludf.DUMMYFUNCTION("""COMPUTED_VALUE"""),3.17113E7)</f>
        <v>31711300</v>
      </c>
      <c r="D170" s="2" t="str">
        <f>IFERROR(__xludf.DUMMYFUNCTION("""COMPUTED_VALUE"""),"Professor, Assistant")</f>
        <v>Professor, Assistant</v>
      </c>
    </row>
    <row r="171">
      <c r="A171" s="2" t="str">
        <f>IFERROR(__xludf.DUMMYFUNCTION("""COMPUTED_VALUE"""),"Wu, Jun")</f>
        <v>Wu, Jun</v>
      </c>
      <c r="B171" s="2" t="str">
        <f>IFERROR(__xludf.DUMMYFUNCTION("""COMPUTED_VALUE"""),"jw65@njit.edu")</f>
        <v>jw65@njit.edu</v>
      </c>
      <c r="C171" s="2">
        <f>IFERROR(__xludf.DUMMYFUNCTION("""COMPUTED_VALUE"""),3.1544549E7)</f>
        <v>31544549</v>
      </c>
      <c r="D171" s="2" t="str">
        <f>IFERROR(__xludf.DUMMYFUNCTION("""COMPUTED_VALUE"""),"University Lecturer, Senior")</f>
        <v>University Lecturer, Senior</v>
      </c>
    </row>
    <row r="172">
      <c r="A172" s="2" t="str">
        <f>IFERROR(__xludf.DUMMYFUNCTION("""COMPUTED_VALUE"""),"Vinnikov, Margarita")</f>
        <v>Vinnikov, Margarita</v>
      </c>
      <c r="B172" s="2" t="str">
        <f>IFERROR(__xludf.DUMMYFUNCTION("""COMPUTED_VALUE"""),"vinnikov@njit.edu")</f>
        <v>vinnikov@njit.edu</v>
      </c>
      <c r="C172" s="2">
        <f>IFERROR(__xludf.DUMMYFUNCTION("""COMPUTED_VALUE"""),3.1483665E7)</f>
        <v>31483665</v>
      </c>
      <c r="D172" s="2" t="str">
        <f>IFERROR(__xludf.DUMMYFUNCTION("""COMPUTED_VALUE"""),"Professor, Assistant")</f>
        <v>Professor, Assistant</v>
      </c>
    </row>
    <row r="173">
      <c r="A173" s="2" t="str">
        <f>IFERROR(__xludf.DUMMYFUNCTION("""COMPUTED_VALUE"""),"Weiss, Tomer")</f>
        <v>Weiss, Tomer</v>
      </c>
      <c r="B173" s="2" t="str">
        <f>IFERROR(__xludf.DUMMYFUNCTION("""COMPUTED_VALUE"""),"tweiss@njit.edu")</f>
        <v>tweiss@njit.edu</v>
      </c>
      <c r="C173" s="2">
        <f>IFERROR(__xludf.DUMMYFUNCTION("""COMPUTED_VALUE"""),3.150831E7)</f>
        <v>31508310</v>
      </c>
      <c r="D173" s="2" t="str">
        <f>IFERROR(__xludf.DUMMYFUNCTION("""COMPUTED_VALUE"""),"Professor, Assistant")</f>
        <v>Professor, Assistant</v>
      </c>
    </row>
    <row r="174">
      <c r="A174" s="2" t="str">
        <f>IFERROR(__xludf.DUMMYFUNCTION("""COMPUTED_VALUE"""),"Wohn, Donghee")</f>
        <v>Wohn, Donghee</v>
      </c>
      <c r="B174" s="2" t="str">
        <f>IFERROR(__xludf.DUMMYFUNCTION("""COMPUTED_VALUE"""),"wohn@njit.edu")</f>
        <v>wohn@njit.edu</v>
      </c>
      <c r="C174" s="2">
        <f>IFERROR(__xludf.DUMMYFUNCTION("""COMPUTED_VALUE"""),3.135216E7)</f>
        <v>31352160</v>
      </c>
      <c r="D174" s="2" t="str">
        <f>IFERROR(__xludf.DUMMYFUNCTION("""COMPUTED_VALUE"""),"Professor, Associate")</f>
        <v>Professor, Associate</v>
      </c>
    </row>
    <row r="175">
      <c r="A175" s="2" t="str">
        <f>IFERROR(__xludf.DUMMYFUNCTION("""COMPUTED_VALUE"""),"Yoo, Charles")</f>
        <v>Yoo, Charles</v>
      </c>
      <c r="B175" s="2" t="str">
        <f>IFERROR(__xludf.DUMMYFUNCTION("""COMPUTED_VALUE"""),"csy2@njit.edu")</f>
        <v>csy2@njit.edu</v>
      </c>
      <c r="C175" s="2">
        <f>IFERROR(__xludf.DUMMYFUNCTION("""COMPUTED_VALUE"""),2.1303184E7)</f>
        <v>21303184</v>
      </c>
      <c r="D175" s="2" t="str">
        <f>IFERROR(__xludf.DUMMYFUNCTION("""COMPUTED_VALUE"""),"Adjunct, Tier I")</f>
        <v>Adjunct, Tier I</v>
      </c>
    </row>
    <row r="176">
      <c r="A176" s="2" t="str">
        <f>IFERROR(__xludf.DUMMYFUNCTION("""COMPUTED_VALUE"""),"Young, Patrick")</f>
        <v>Young, Patrick</v>
      </c>
      <c r="B176" s="2" t="str">
        <f>IFERROR(__xludf.DUMMYFUNCTION("""COMPUTED_VALUE"""),"pyoung@njit.edu")</f>
        <v>pyoung@njit.edu</v>
      </c>
      <c r="C176" s="2">
        <f>IFERROR(__xludf.DUMMYFUNCTION("""COMPUTED_VALUE"""),2.1484282E7)</f>
        <v>21484282</v>
      </c>
      <c r="D176" s="2" t="str">
        <f>IFERROR(__xludf.DUMMYFUNCTION("""COMPUTED_VALUE"""),"Adjunct, Tier I")</f>
        <v>Adjunct, Tier I</v>
      </c>
    </row>
    <row r="177">
      <c r="A177" s="2" t="str">
        <f>IFERROR(__xludf.DUMMYFUNCTION("""COMPUTED_VALUE"""),"Wu, Brook")</f>
        <v>Wu, Brook</v>
      </c>
      <c r="B177" s="2" t="str">
        <f>IFERROR(__xludf.DUMMYFUNCTION("""COMPUTED_VALUE"""),"wu@njit.edu")</f>
        <v>wu@njit.edu</v>
      </c>
      <c r="C177" s="2">
        <f>IFERROR(__xludf.DUMMYFUNCTION("""COMPUTED_VALUE"""),2.136774E7)</f>
        <v>21367740</v>
      </c>
      <c r="D177" s="2" t="str">
        <f>IFERROR(__xludf.DUMMYFUNCTION("""COMPUTED_VALUE"""),"Professor, Associate")</f>
        <v>Professor, Associate</v>
      </c>
    </row>
    <row r="178">
      <c r="A178" s="2" t="str">
        <f>IFERROR(__xludf.DUMMYFUNCTION("""COMPUTED_VALUE"""),"Yusuf, Fatima")</f>
        <v>Yusuf, Fatima</v>
      </c>
      <c r="B178" s="2" t="str">
        <f>IFERROR(__xludf.DUMMYFUNCTION("""COMPUTED_VALUE"""),"fy223@njit.edu")</f>
        <v>fy223@njit.edu</v>
      </c>
      <c r="C178" s="2">
        <f>IFERROR(__xludf.DUMMYFUNCTION("""COMPUTED_VALUE"""),3.1171138E7)</f>
        <v>31171138</v>
      </c>
      <c r="D178" s="2" t="str">
        <f>IFERROR(__xludf.DUMMYFUNCTION("""COMPUTED_VALUE"""),"University Lecturer")</f>
        <v>University Lecturer</v>
      </c>
    </row>
    <row r="179">
      <c r="A179" s="2" t="str">
        <f>IFERROR(__xludf.DUMMYFUNCTION("""COMPUTED_VALUE"""),"Zaidenberg, Ayelet")</f>
        <v>Zaidenberg, Ayelet</v>
      </c>
      <c r="B179" s="2" t="str">
        <f>IFERROR(__xludf.DUMMYFUNCTION("""COMPUTED_VALUE"""),"acz6@njit.edu")</f>
        <v>acz6@njit.edu</v>
      </c>
      <c r="C179" s="2">
        <f>IFERROR(__xludf.DUMMYFUNCTION("""COMPUTED_VALUE"""),3.1572337E7)</f>
        <v>31572337</v>
      </c>
      <c r="D179" s="2" t="str">
        <f>IFERROR(__xludf.DUMMYFUNCTION("""COMPUTED_VALUE"""),"University Lecturer")</f>
        <v>University Lecturer</v>
      </c>
    </row>
    <row r="180">
      <c r="A180" s="2" t="str">
        <f>IFERROR(__xludf.DUMMYFUNCTION("""COMPUTED_VALUE"""),"Zhang, Genwei")</f>
        <v>Zhang, Genwei</v>
      </c>
      <c r="B180" s="2" t="str">
        <f>IFERROR(__xludf.DUMMYFUNCTION("""COMPUTED_VALUE"""),"gz6@njit.edu")</f>
        <v>gz6@njit.edu</v>
      </c>
      <c r="C180" s="2">
        <f>IFERROR(__xludf.DUMMYFUNCTION("""COMPUTED_VALUE"""),3.1521469E7)</f>
        <v>31521469</v>
      </c>
      <c r="D180" s="2" t="str">
        <f>IFERROR(__xludf.DUMMYFUNCTION("""COMPUTED_VALUE"""),"PhD student")</f>
        <v>PhD student</v>
      </c>
    </row>
    <row r="181">
      <c r="A181" s="2" t="str">
        <f>IFERROR(__xludf.DUMMYFUNCTION("""COMPUTED_VALUE"""),"Yuan, Chenxi")</f>
        <v>Yuan, Chenxi</v>
      </c>
      <c r="B181" s="2" t="str">
        <f>IFERROR(__xludf.DUMMYFUNCTION("""COMPUTED_VALUE"""),"cy324@njit.edu")</f>
        <v>cy324@njit.edu</v>
      </c>
      <c r="C181" s="2">
        <f>IFERROR(__xludf.DUMMYFUNCTION("""COMPUTED_VALUE"""),3.1702048E7)</f>
        <v>31702048</v>
      </c>
      <c r="D181" s="2" t="str">
        <f>IFERROR(__xludf.DUMMYFUNCTION("""COMPUTED_VALUE"""),"Professor, Assistant")</f>
        <v>Professor, Assistant</v>
      </c>
    </row>
    <row r="182">
      <c r="A182" s="2" t="str">
        <f>IFERROR(__xludf.DUMMYFUNCTION("""COMPUTED_VALUE"""),"Zhang, Yijie")</f>
        <v>Zhang, Yijie</v>
      </c>
      <c r="B182" s="2" t="str">
        <f>IFERROR(__xludf.DUMMYFUNCTION("""COMPUTED_VALUE"""),"yz829@njit.edu")</f>
        <v>yz829@njit.edu</v>
      </c>
      <c r="C182" s="2">
        <f>IFERROR(__xludf.DUMMYFUNCTION("""COMPUTED_VALUE"""),3.1481772E7)</f>
        <v>31481772</v>
      </c>
      <c r="D182" s="2" t="str">
        <f>IFERROR(__xludf.DUMMYFUNCTION("""COMPUTED_VALUE"""),"Adjunct, Tier I")</f>
        <v>Adjunct, Tier I</v>
      </c>
    </row>
    <row r="183">
      <c r="A183" s="2" t="str">
        <f>IFERROR(__xludf.DUMMYFUNCTION("""COMPUTED_VALUE"""),"Zunnurhain, Kazi")</f>
        <v>Zunnurhain, Kazi</v>
      </c>
      <c r="B183" s="2" t="str">
        <f>IFERROR(__xludf.DUMMYFUNCTION("""COMPUTED_VALUE"""),"kzunnurh@njit.edu")</f>
        <v>kzunnurh@njit.edu</v>
      </c>
      <c r="C183" s="2">
        <f>IFERROR(__xludf.DUMMYFUNCTION("""COMPUTED_VALUE"""),3.155865E7)</f>
        <v>31558650</v>
      </c>
      <c r="D183" s="2" t="str">
        <f>IFERROR(__xludf.DUMMYFUNCTION("""COMPUTED_VALUE"""),"Adjunct, Tier I")</f>
        <v>Adjunct, Tier I</v>
      </c>
    </row>
    <row r="184">
      <c r="A184" s="2" t="str">
        <f>IFERROR(__xludf.DUMMYFUNCTION("""COMPUTED_VALUE"""),"Zhang, Lei")</f>
        <v>Zhang, Lei</v>
      </c>
      <c r="B184" s="2" t="str">
        <f>IFERROR(__xludf.DUMMYFUNCTION("""COMPUTED_VALUE"""),"lei.zhang7@njit.edu")</f>
        <v>lei.zhang7@njit.edu</v>
      </c>
      <c r="C184" s="2"/>
      <c r="D184" s="2"/>
    </row>
    <row r="185">
      <c r="A185" s="2"/>
      <c r="B185" s="2"/>
      <c r="C185" s="2"/>
      <c r="D185" s="2"/>
    </row>
    <row r="186">
      <c r="A186" s="2"/>
      <c r="B186" s="2"/>
      <c r="C186" s="2"/>
      <c r="D186" s="2"/>
    </row>
    <row r="187">
      <c r="A187" s="2"/>
      <c r="B187" s="2"/>
      <c r="C187" s="2"/>
      <c r="D187" s="2"/>
    </row>
    <row r="188">
      <c r="A188" s="2"/>
      <c r="B188" s="2"/>
      <c r="C188" s="2"/>
      <c r="D188" s="2"/>
    </row>
    <row r="189">
      <c r="A189" s="2"/>
      <c r="B189" s="2"/>
      <c r="C189" s="2"/>
      <c r="D189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0.13"/>
    <col customWidth="1" min="3" max="3" width="30.13"/>
    <col customWidth="1" min="4" max="4" width="24.75"/>
    <col customWidth="1" min="5" max="5" width="25.38"/>
    <col customWidth="1" min="6" max="6" width="48.13"/>
  </cols>
  <sheetData>
    <row r="1">
      <c r="A1" s="2" t="str">
        <f>IFERROR(__xludf.DUMMYFUNCTION("QUERY(IMPORTRANGE(""12uuNEB7I9sCMnQh7OwYLgj0MCJ4qHCCpGtbHnbXnjJQ"", ""Form Responses 1!A:AX""), 
       ""SELECT Col1, Col2, Col47, Col48, Col49, Col50"", 1)"),"Timestamp")</f>
        <v>Timestamp</v>
      </c>
      <c r="B1" s="2" t="str">
        <f>IFERROR(__xludf.DUMMYFUNCTION("""COMPUTED_VALUE"""),"Email Address")</f>
        <v>Email Address</v>
      </c>
      <c r="C1" s="7" t="str">
        <f>IFERROR(__xludf.DUMMYFUNCTION("""COMPUTED_VALUE"""),"🟢 General Preferences, part-1
Do you prefer a 3-hour format (only available to start at 8:30am or 6pm) or a 1.5+1.5 hour format?")</f>
        <v>🟢 General Preferences, part-1
Do you prefer a 3-hour format (only available to start at 8:30am or 6pm) or a 1.5+1.5 hour format?</v>
      </c>
      <c r="D1" s="7" t="str">
        <f>IFERROR(__xludf.DUMMYFUNCTION("""COMPUTED_VALUE"""),"🟢 General Preferences, part-2
If possible, I prefer my sections to be spread among more days or condense them into fewer days")</f>
        <v>🟢 General Preferences, part-2
If possible, I prefer my sections to be spread among more days or condense them into fewer days</v>
      </c>
      <c r="E1" s="7" t="str">
        <f>IFERROR(__xludf.DUMMYFUNCTION("""COMPUTED_VALUE"""),"🟢 General Preferences, part-3
Whenever possible, I prefer consecutive days")</f>
        <v>🟢 General Preferences, part-3
Whenever possible, I prefer consecutive days</v>
      </c>
      <c r="F1" s="2" t="str">
        <f>IFERROR(__xludf.DUMMYFUNCTION("""COMPUTED_VALUE"""),"🟢 General Preferences, part-4
Whenever possible, I prefer classes back to back instead of large breaks. Please note that typically no more than 2 back to back 1.5 hour classes are scheduled consecutively to allow for breaks. ")</f>
        <v>🟢 General Preferences, part-4
Whenever possible, I prefer classes back to back instead of large breaks. Please note that typically no more than 2 back to back 1.5 hour classes are scheduled consecutively to allow for breaks. </v>
      </c>
    </row>
    <row r="2">
      <c r="A2" s="8">
        <f>IFERROR(__xludf.DUMMYFUNCTION("""COMPUTED_VALUE"""),45629.48941273148)</f>
        <v>45629.48941</v>
      </c>
      <c r="B2" s="2" t="str">
        <f>IFERROR(__xludf.DUMMYFUNCTION("""COMPUTED_VALUE"""),"kapleau@njit.edu")</f>
        <v>kapleau@njit.edu</v>
      </c>
      <c r="C2" s="7" t="str">
        <f>IFERROR(__xludf.DUMMYFUNCTION("""COMPUTED_VALUE"""),"I don't have a preference")</f>
        <v>I don't have a preference</v>
      </c>
      <c r="D2" s="2" t="str">
        <f>IFERROR(__xludf.DUMMYFUNCTION("""COMPUTED_VALUE"""),"I don't have a preference")</f>
        <v>I don't have a preference</v>
      </c>
      <c r="E2" s="2" t="str">
        <f>IFERROR(__xludf.DUMMYFUNCTION("""COMPUTED_VALUE"""),"I don't have a preference")</f>
        <v>I don't have a preference</v>
      </c>
      <c r="F2" s="2" t="str">
        <f>IFERROR(__xludf.DUMMYFUNCTION("""COMPUTED_VALUE"""),"I don't have a preference")</f>
        <v>I don't have a preference</v>
      </c>
    </row>
    <row r="3">
      <c r="A3" s="8">
        <f>IFERROR(__xludf.DUMMYFUNCTION("""COMPUTED_VALUE"""),45629.498608344904)</f>
        <v>45629.49861</v>
      </c>
      <c r="B3" s="2" t="str">
        <f>IFERROR(__xludf.DUMMYFUNCTION("""COMPUTED_VALUE"""),"rt494@njit.edu")</f>
        <v>rt494@njit.edu</v>
      </c>
      <c r="C3" s="7" t="str">
        <f>IFERROR(__xludf.DUMMYFUNCTION("""COMPUTED_VALUE"""),"3-hour format")</f>
        <v>3-hour format</v>
      </c>
      <c r="D3" s="2" t="str">
        <f>IFERROR(__xludf.DUMMYFUNCTION("""COMPUTED_VALUE"""),"I prefer to condense my sections into fewer days")</f>
        <v>I prefer to condense my sections into fewer days</v>
      </c>
      <c r="E3" s="2" t="str">
        <f>IFERROR(__xludf.DUMMYFUNCTION("""COMPUTED_VALUE"""),"I don't have a preference")</f>
        <v>I don't have a preference</v>
      </c>
      <c r="F3" s="2" t="str">
        <f>IFERROR(__xludf.DUMMYFUNCTION("""COMPUTED_VALUE"""),"Yes")</f>
        <v>Yes</v>
      </c>
    </row>
    <row r="4">
      <c r="A4" s="8">
        <f>IFERROR(__xludf.DUMMYFUNCTION("""COMPUTED_VALUE"""),45629.50567730324)</f>
        <v>45629.50568</v>
      </c>
      <c r="B4" s="2" t="str">
        <f>IFERROR(__xludf.DUMMYFUNCTION("""COMPUTED_VALUE"""),"ejt25@njit.edu")</f>
        <v>ejt25@njit.edu</v>
      </c>
      <c r="C4" s="7" t="str">
        <f>IFERROR(__xludf.DUMMYFUNCTION("""COMPUTED_VALUE"""),"1.5+1.5 hour format")</f>
        <v>1.5+1.5 hour format</v>
      </c>
      <c r="D4" s="2" t="str">
        <f>IFERROR(__xludf.DUMMYFUNCTION("""COMPUTED_VALUE"""),"I prefer to condense my sections into fewer days")</f>
        <v>I prefer to condense my sections into fewer days</v>
      </c>
      <c r="E4" s="2" t="str">
        <f>IFERROR(__xludf.DUMMYFUNCTION("""COMPUTED_VALUE"""),"No")</f>
        <v>No</v>
      </c>
      <c r="F4" s="2" t="str">
        <f>IFERROR(__xludf.DUMMYFUNCTION("""COMPUTED_VALUE"""),"Yes")</f>
        <v>Yes</v>
      </c>
    </row>
    <row r="5">
      <c r="A5" s="8">
        <f>IFERROR(__xludf.DUMMYFUNCTION("""COMPUTED_VALUE"""),45629.509420150454)</f>
        <v>45629.50942</v>
      </c>
      <c r="B5" s="2" t="str">
        <f>IFERROR(__xludf.DUMMYFUNCTION("""COMPUTED_VALUE"""),"tweiss@njit.edu")</f>
        <v>tweiss@njit.edu</v>
      </c>
      <c r="C5" s="7" t="str">
        <f>IFERROR(__xludf.DUMMYFUNCTION("""COMPUTED_VALUE"""),"3-hour format")</f>
        <v>3-hour format</v>
      </c>
      <c r="D5" s="2" t="str">
        <f>IFERROR(__xludf.DUMMYFUNCTION("""COMPUTED_VALUE"""),"I prefer to condense my sections into fewer days")</f>
        <v>I prefer to condense my sections into fewer days</v>
      </c>
      <c r="E5" s="2" t="str">
        <f>IFERROR(__xludf.DUMMYFUNCTION("""COMPUTED_VALUE"""),"No")</f>
        <v>No</v>
      </c>
      <c r="F5" s="2" t="str">
        <f>IFERROR(__xludf.DUMMYFUNCTION("""COMPUTED_VALUE"""),"Yes")</f>
        <v>Yes</v>
      </c>
    </row>
    <row r="6">
      <c r="A6" s="8">
        <f>IFERROR(__xludf.DUMMYFUNCTION("""COMPUTED_VALUE"""),45629.51050935185)</f>
        <v>45629.51051</v>
      </c>
      <c r="B6" s="2" t="str">
        <f>IFERROR(__xludf.DUMMYFUNCTION("""COMPUTED_VALUE"""),"ko89@njit.edu")</f>
        <v>ko89@njit.edu</v>
      </c>
      <c r="C6" s="7" t="str">
        <f>IFERROR(__xludf.DUMMYFUNCTION("""COMPUTED_VALUE"""),"3-hour format")</f>
        <v>3-hour format</v>
      </c>
      <c r="D6" s="2" t="str">
        <f>IFERROR(__xludf.DUMMYFUNCTION("""COMPUTED_VALUE"""),"I prefer to condense my sections into fewer days")</f>
        <v>I prefer to condense my sections into fewer days</v>
      </c>
      <c r="E6" s="2" t="str">
        <f>IFERROR(__xludf.DUMMYFUNCTION("""COMPUTED_VALUE"""),"Yes")</f>
        <v>Yes</v>
      </c>
      <c r="F6" s="2" t="str">
        <f>IFERROR(__xludf.DUMMYFUNCTION("""COMPUTED_VALUE"""),"I don't have a preference")</f>
        <v>I don't have a preference</v>
      </c>
    </row>
    <row r="7">
      <c r="A7" s="8">
        <f>IFERROR(__xludf.DUMMYFUNCTION("""COMPUTED_VALUE"""),45629.51052892361)</f>
        <v>45629.51053</v>
      </c>
      <c r="B7" s="2" t="str">
        <f>IFERROR(__xludf.DUMMYFUNCTION("""COMPUTED_VALUE"""),"kp759@njit.edu")</f>
        <v>kp759@njit.edu</v>
      </c>
      <c r="C7" s="7" t="str">
        <f>IFERROR(__xludf.DUMMYFUNCTION("""COMPUTED_VALUE"""),"1.5+1.5 hour format")</f>
        <v>1.5+1.5 hour format</v>
      </c>
      <c r="D7" s="2" t="str">
        <f>IFERROR(__xludf.DUMMYFUNCTION("""COMPUTED_VALUE"""),"I prefer my sections to be spread among more days")</f>
        <v>I prefer my sections to be spread among more days</v>
      </c>
      <c r="E7" s="2" t="str">
        <f>IFERROR(__xludf.DUMMYFUNCTION("""COMPUTED_VALUE"""),"I don't have a preference")</f>
        <v>I don't have a preference</v>
      </c>
      <c r="F7" s="2" t="str">
        <f>IFERROR(__xludf.DUMMYFUNCTION("""COMPUTED_VALUE"""),"I don't have a preference")</f>
        <v>I don't have a preference</v>
      </c>
    </row>
    <row r="8">
      <c r="A8" s="8">
        <f>IFERROR(__xludf.DUMMYFUNCTION("""COMPUTED_VALUE"""),45629.525731076385)</f>
        <v>45629.52573</v>
      </c>
      <c r="B8" s="2" t="str">
        <f>IFERROR(__xludf.DUMMYFUNCTION("""COMPUTED_VALUE"""),"js9@njit.edu")</f>
        <v>js9@njit.edu</v>
      </c>
      <c r="C8" s="7" t="str">
        <f>IFERROR(__xludf.DUMMYFUNCTION("""COMPUTED_VALUE"""),"I don't have a preference")</f>
        <v>I don't have a preference</v>
      </c>
      <c r="D8" s="2" t="str">
        <f>IFERROR(__xludf.DUMMYFUNCTION("""COMPUTED_VALUE"""),"I prefer to condense my sections into fewer days")</f>
        <v>I prefer to condense my sections into fewer days</v>
      </c>
      <c r="E8" s="2" t="str">
        <f>IFERROR(__xludf.DUMMYFUNCTION("""COMPUTED_VALUE"""),"I don't have a preference")</f>
        <v>I don't have a preference</v>
      </c>
      <c r="F8" s="2" t="str">
        <f>IFERROR(__xludf.DUMMYFUNCTION("""COMPUTED_VALUE"""),"Yes")</f>
        <v>Yes</v>
      </c>
    </row>
    <row r="9">
      <c r="A9" s="8">
        <f>IFERROR(__xludf.DUMMYFUNCTION("""COMPUTED_VALUE"""),45629.525883229166)</f>
        <v>45629.52588</v>
      </c>
      <c r="B9" s="2" t="str">
        <f>IFERROR(__xludf.DUMMYFUNCTION("""COMPUTED_VALUE"""),"wohn@njit.edu")</f>
        <v>wohn@njit.edu</v>
      </c>
      <c r="C9" s="7" t="str">
        <f>IFERROR(__xludf.DUMMYFUNCTION("""COMPUTED_VALUE"""),"I don't have a preference")</f>
        <v>I don't have a preference</v>
      </c>
      <c r="D9" s="2" t="str">
        <f>IFERROR(__xludf.DUMMYFUNCTION("""COMPUTED_VALUE"""),"I prefer to condense my sections into fewer days")</f>
        <v>I prefer to condense my sections into fewer days</v>
      </c>
      <c r="E9" s="2" t="str">
        <f>IFERROR(__xludf.DUMMYFUNCTION("""COMPUTED_VALUE"""),"I don't have a preference")</f>
        <v>I don't have a preference</v>
      </c>
      <c r="F9" s="2" t="str">
        <f>IFERROR(__xludf.DUMMYFUNCTION("""COMPUTED_VALUE"""),"I don't have a preference")</f>
        <v>I don't have a preference</v>
      </c>
    </row>
    <row r="10">
      <c r="A10" s="8">
        <f>IFERROR(__xludf.DUMMYFUNCTION("""COMPUTED_VALUE"""),45629.53296953704)</f>
        <v>45629.53297</v>
      </c>
      <c r="B10" s="2" t="str">
        <f>IFERROR(__xludf.DUMMYFUNCTION("""COMPUTED_VALUE"""),"egan@njit.edu")</f>
        <v>egan@njit.edu</v>
      </c>
      <c r="C10" s="7" t="str">
        <f>IFERROR(__xludf.DUMMYFUNCTION("""COMPUTED_VALUE"""),"1.5+1.5 hour format")</f>
        <v>1.5+1.5 hour format</v>
      </c>
      <c r="D10" s="2" t="str">
        <f>IFERROR(__xludf.DUMMYFUNCTION("""COMPUTED_VALUE"""),"I prefer to condense my sections into fewer days")</f>
        <v>I prefer to condense my sections into fewer days</v>
      </c>
      <c r="E10" s="2" t="str">
        <f>IFERROR(__xludf.DUMMYFUNCTION("""COMPUTED_VALUE"""),"No")</f>
        <v>No</v>
      </c>
      <c r="F10" s="2" t="str">
        <f>IFERROR(__xludf.DUMMYFUNCTION("""COMPUTED_VALUE"""),"Yes")</f>
        <v>Yes</v>
      </c>
    </row>
    <row r="11">
      <c r="A11" s="8">
        <f>IFERROR(__xludf.DUMMYFUNCTION("""COMPUTED_VALUE"""),45629.54236908565)</f>
        <v>45629.54237</v>
      </c>
      <c r="B11" s="2" t="str">
        <f>IFERROR(__xludf.DUMMYFUNCTION("""COMPUTED_VALUE"""),"mjk76@njit.edu")</f>
        <v>mjk76@njit.edu</v>
      </c>
      <c r="C11" s="7" t="str">
        <f>IFERROR(__xludf.DUMMYFUNCTION("""COMPUTED_VALUE"""),"1.5+1.5 hour format")</f>
        <v>1.5+1.5 hour format</v>
      </c>
      <c r="D11" s="2" t="str">
        <f>IFERROR(__xludf.DUMMYFUNCTION("""COMPUTED_VALUE"""),"I don't have a preference")</f>
        <v>I don't have a preference</v>
      </c>
      <c r="E11" s="2" t="str">
        <f>IFERROR(__xludf.DUMMYFUNCTION("""COMPUTED_VALUE"""),"I don't have a preference")</f>
        <v>I don't have a preference</v>
      </c>
      <c r="F11" s="2" t="str">
        <f>IFERROR(__xludf.DUMMYFUNCTION("""COMPUTED_VALUE"""),"I don't have a preference")</f>
        <v>I don't have a preference</v>
      </c>
    </row>
    <row r="12">
      <c r="A12" s="8">
        <f>IFERROR(__xludf.DUMMYFUNCTION("""COMPUTED_VALUE"""),45629.5566210301)</f>
        <v>45629.55662</v>
      </c>
      <c r="B12" s="2" t="str">
        <f>IFERROR(__xludf.DUMMYFUNCTION("""COMPUTED_VALUE"""),"marvin@njit.edu")</f>
        <v>marvin@njit.edu</v>
      </c>
      <c r="C12" s="7" t="str">
        <f>IFERROR(__xludf.DUMMYFUNCTION("""COMPUTED_VALUE"""),"1.5+1.5 hour format")</f>
        <v>1.5+1.5 hour format</v>
      </c>
      <c r="D12" s="2" t="str">
        <f>IFERROR(__xludf.DUMMYFUNCTION("""COMPUTED_VALUE"""),"I prefer to condense my sections into fewer days")</f>
        <v>I prefer to condense my sections into fewer days</v>
      </c>
      <c r="E12" s="2" t="str">
        <f>IFERROR(__xludf.DUMMYFUNCTION("""COMPUTED_VALUE"""),"I don't have a preference")</f>
        <v>I don't have a preference</v>
      </c>
      <c r="F12" s="2" t="str">
        <f>IFERROR(__xludf.DUMMYFUNCTION("""COMPUTED_VALUE"""),"I don't have a preference")</f>
        <v>I don't have a preference</v>
      </c>
    </row>
    <row r="13">
      <c r="A13" s="8">
        <f>IFERROR(__xludf.DUMMYFUNCTION("""COMPUTED_VALUE"""),45629.577066157406)</f>
        <v>45629.57707</v>
      </c>
      <c r="B13" s="2" t="str">
        <f>IFERROR(__xludf.DUMMYFUNCTION("""COMPUTED_VALUE"""),"sz457@njit.edu")</f>
        <v>sz457@njit.edu</v>
      </c>
      <c r="C13" s="7" t="str">
        <f>IFERROR(__xludf.DUMMYFUNCTION("""COMPUTED_VALUE"""),"3-hour format")</f>
        <v>3-hour format</v>
      </c>
      <c r="D13" s="2" t="str">
        <f>IFERROR(__xludf.DUMMYFUNCTION("""COMPUTED_VALUE"""),"I prefer to condense my sections into fewer days")</f>
        <v>I prefer to condense my sections into fewer days</v>
      </c>
      <c r="E13" s="2" t="str">
        <f>IFERROR(__xludf.DUMMYFUNCTION("""COMPUTED_VALUE"""),"I don't have a preference")</f>
        <v>I don't have a preference</v>
      </c>
      <c r="F13" s="2" t="str">
        <f>IFERROR(__xludf.DUMMYFUNCTION("""COMPUTED_VALUE"""),"I don't have a preference")</f>
        <v>I don't have a preference</v>
      </c>
    </row>
    <row r="14">
      <c r="A14" s="8">
        <f>IFERROR(__xludf.DUMMYFUNCTION("""COMPUTED_VALUE"""),45629.58225903935)</f>
        <v>45629.58226</v>
      </c>
      <c r="B14" s="2" t="str">
        <f>IFERROR(__xludf.DUMMYFUNCTION("""COMPUTED_VALUE"""),"jingli@njit.edu")</f>
        <v>jingli@njit.edu</v>
      </c>
      <c r="C14" s="7" t="str">
        <f>IFERROR(__xludf.DUMMYFUNCTION("""COMPUTED_VALUE"""),"3-hour format")</f>
        <v>3-hour format</v>
      </c>
      <c r="D14" s="2" t="str">
        <f>IFERROR(__xludf.DUMMYFUNCTION("""COMPUTED_VALUE"""),"I prefer to condense my sections into fewer days")</f>
        <v>I prefer to condense my sections into fewer days</v>
      </c>
      <c r="E14" s="2" t="str">
        <f>IFERROR(__xludf.DUMMYFUNCTION("""COMPUTED_VALUE"""),"Yes")</f>
        <v>Yes</v>
      </c>
      <c r="F14" s="2" t="str">
        <f>IFERROR(__xludf.DUMMYFUNCTION("""COMPUTED_VALUE"""),"Yes")</f>
        <v>Yes</v>
      </c>
    </row>
    <row r="15">
      <c r="A15" s="8">
        <f>IFERROR(__xludf.DUMMYFUNCTION("""COMPUTED_VALUE"""),45629.59992936343)</f>
        <v>45629.59993</v>
      </c>
      <c r="B15" s="2" t="str">
        <f>IFERROR(__xludf.DUMMYFUNCTION("""COMPUTED_VALUE"""),"cliu@njit.edu")</f>
        <v>cliu@njit.edu</v>
      </c>
      <c r="C15" s="7" t="str">
        <f>IFERROR(__xludf.DUMMYFUNCTION("""COMPUTED_VALUE"""),"3-hour format")</f>
        <v>3-hour format</v>
      </c>
      <c r="D15" s="2"/>
      <c r="E15" s="2"/>
      <c r="F15" s="2"/>
    </row>
    <row r="16">
      <c r="A16" s="8">
        <f>IFERROR(__xludf.DUMMYFUNCTION("""COMPUTED_VALUE"""),45629.62624716435)</f>
        <v>45629.62625</v>
      </c>
      <c r="B16" s="2" t="str">
        <f>IFERROR(__xludf.DUMMYFUNCTION("""COMPUTED_VALUE"""),"kehoed@njit.edu")</f>
        <v>kehoed@njit.edu</v>
      </c>
      <c r="C16" s="7"/>
      <c r="D16" s="2" t="str">
        <f>IFERROR(__xludf.DUMMYFUNCTION("""COMPUTED_VALUE"""),"I prefer to condense my sections into fewer days")</f>
        <v>I prefer to condense my sections into fewer days</v>
      </c>
      <c r="E16" s="2" t="str">
        <f>IFERROR(__xludf.DUMMYFUNCTION("""COMPUTED_VALUE"""),"Yes")</f>
        <v>Yes</v>
      </c>
      <c r="F16" s="2" t="str">
        <f>IFERROR(__xludf.DUMMYFUNCTION("""COMPUTED_VALUE"""),"Yes")</f>
        <v>Yes</v>
      </c>
    </row>
    <row r="17">
      <c r="A17" s="8">
        <f>IFERROR(__xludf.DUMMYFUNCTION("""COMPUTED_VALUE"""),45629.627270578705)</f>
        <v>45629.62727</v>
      </c>
      <c r="B17" s="2" t="str">
        <f>IFERROR(__xludf.DUMMYFUNCTION("""COMPUTED_VALUE"""),"yl935@njit.edu")</f>
        <v>yl935@njit.edu</v>
      </c>
      <c r="C17" s="7" t="str">
        <f>IFERROR(__xludf.DUMMYFUNCTION("""COMPUTED_VALUE"""),"3-hour format")</f>
        <v>3-hour format</v>
      </c>
      <c r="D17" s="2" t="str">
        <f>IFERROR(__xludf.DUMMYFUNCTION("""COMPUTED_VALUE"""),"I prefer to condense my sections into fewer days")</f>
        <v>I prefer to condense my sections into fewer days</v>
      </c>
      <c r="E17" s="2" t="str">
        <f>IFERROR(__xludf.DUMMYFUNCTION("""COMPUTED_VALUE"""),"Yes")</f>
        <v>Yes</v>
      </c>
      <c r="F17" s="2" t="str">
        <f>IFERROR(__xludf.DUMMYFUNCTION("""COMPUTED_VALUE"""),"Yes")</f>
        <v>Yes</v>
      </c>
    </row>
    <row r="18">
      <c r="A18" s="8">
        <f>IFERROR(__xludf.DUMMYFUNCTION("""COMPUTED_VALUE"""),45629.69307476852)</f>
        <v>45629.69307</v>
      </c>
      <c r="B18" s="2" t="str">
        <f>IFERROR(__xludf.DUMMYFUNCTION("""COMPUTED_VALUE"""),"daher@njit.edu")</f>
        <v>daher@njit.edu</v>
      </c>
      <c r="C18" s="7"/>
      <c r="D18" s="2" t="str">
        <f>IFERROR(__xludf.DUMMYFUNCTION("""COMPUTED_VALUE"""),"I prefer to condense my sections into fewer days")</f>
        <v>I prefer to condense my sections into fewer days</v>
      </c>
      <c r="E18" s="2" t="str">
        <f>IFERROR(__xludf.DUMMYFUNCTION("""COMPUTED_VALUE"""),"Yes")</f>
        <v>Yes</v>
      </c>
      <c r="F18" s="2" t="str">
        <f>IFERROR(__xludf.DUMMYFUNCTION("""COMPUTED_VALUE"""),"Yes")</f>
        <v>Yes</v>
      </c>
    </row>
    <row r="19">
      <c r="A19" s="8">
        <f>IFERROR(__xludf.DUMMYFUNCTION("""COMPUTED_VALUE"""),45629.69887600694)</f>
        <v>45629.69888</v>
      </c>
      <c r="B19" s="2" t="str">
        <f>IFERROR(__xludf.DUMMYFUNCTION("""COMPUTED_VALUE"""),"ss797@njit.edu")</f>
        <v>ss797@njit.edu</v>
      </c>
      <c r="C19" s="7" t="str">
        <f>IFERROR(__xludf.DUMMYFUNCTION("""COMPUTED_VALUE"""),"I don't have a preference")</f>
        <v>I don't have a preference</v>
      </c>
      <c r="D19" s="2" t="str">
        <f>IFERROR(__xludf.DUMMYFUNCTION("""COMPUTED_VALUE"""),"I prefer to condense my sections into fewer days")</f>
        <v>I prefer to condense my sections into fewer days</v>
      </c>
      <c r="E19" s="2"/>
      <c r="F19" s="2" t="str">
        <f>IFERROR(__xludf.DUMMYFUNCTION("""COMPUTED_VALUE"""),"Yes")</f>
        <v>Yes</v>
      </c>
    </row>
    <row r="20">
      <c r="A20" s="8">
        <f>IFERROR(__xludf.DUMMYFUNCTION("""COMPUTED_VALUE"""),45629.705578773144)</f>
        <v>45629.70558</v>
      </c>
      <c r="B20" s="2" t="str">
        <f>IFERROR(__xludf.DUMMYFUNCTION("""COMPUTED_VALUE"""),"azi3@njit.edu")</f>
        <v>azi3@njit.edu</v>
      </c>
      <c r="C20" s="7" t="str">
        <f>IFERROR(__xludf.DUMMYFUNCTION("""COMPUTED_VALUE"""),"I don't have a preference")</f>
        <v>I don't have a preference</v>
      </c>
      <c r="D20" s="2" t="str">
        <f>IFERROR(__xludf.DUMMYFUNCTION("""COMPUTED_VALUE"""),"I prefer to condense my sections into fewer days")</f>
        <v>I prefer to condense my sections into fewer days</v>
      </c>
      <c r="E20" s="2" t="str">
        <f>IFERROR(__xludf.DUMMYFUNCTION("""COMPUTED_VALUE"""),"I don't have a preference")</f>
        <v>I don't have a preference</v>
      </c>
      <c r="F20" s="2" t="str">
        <f>IFERROR(__xludf.DUMMYFUNCTION("""COMPUTED_VALUE"""),"Yes")</f>
        <v>Yes</v>
      </c>
    </row>
    <row r="21">
      <c r="A21" s="8">
        <f>IFERROR(__xludf.DUMMYFUNCTION("""COMPUTED_VALUE"""),45629.73771483796)</f>
        <v>45629.73771</v>
      </c>
      <c r="B21" s="2" t="str">
        <f>IFERROR(__xludf.DUMMYFUNCTION("""COMPUTED_VALUE"""),"jw65@njit.edu")</f>
        <v>jw65@njit.edu</v>
      </c>
      <c r="C21" s="7" t="str">
        <f>IFERROR(__xludf.DUMMYFUNCTION("""COMPUTED_VALUE"""),"I don't have a preference")</f>
        <v>I don't have a preference</v>
      </c>
      <c r="D21" s="2" t="str">
        <f>IFERROR(__xludf.DUMMYFUNCTION("""COMPUTED_VALUE"""),"I prefer to condense my sections into fewer days")</f>
        <v>I prefer to condense my sections into fewer days</v>
      </c>
      <c r="E21" s="2" t="str">
        <f>IFERROR(__xludf.DUMMYFUNCTION("""COMPUTED_VALUE"""),"I don't have a preference")</f>
        <v>I don't have a preference</v>
      </c>
      <c r="F21" s="2" t="str">
        <f>IFERROR(__xludf.DUMMYFUNCTION("""COMPUTED_VALUE"""),"Yes")</f>
        <v>Yes</v>
      </c>
    </row>
    <row r="22">
      <c r="A22" s="8">
        <f>IFERROR(__xludf.DUMMYFUNCTION("""COMPUTED_VALUE"""),45629.742890625)</f>
        <v>45629.74289</v>
      </c>
      <c r="B22" s="2" t="str">
        <f>IFERROR(__xludf.DUMMYFUNCTION("""COMPUTED_VALUE"""),"jq55@njit.edu")</f>
        <v>jq55@njit.edu</v>
      </c>
      <c r="C22" s="7" t="str">
        <f>IFERROR(__xludf.DUMMYFUNCTION("""COMPUTED_VALUE"""),"1.5+1.5 hour format")</f>
        <v>1.5+1.5 hour format</v>
      </c>
      <c r="D22" s="2" t="str">
        <f>IFERROR(__xludf.DUMMYFUNCTION("""COMPUTED_VALUE"""),"I don't have a preference")</f>
        <v>I don't have a preference</v>
      </c>
      <c r="E22" s="2" t="str">
        <f>IFERROR(__xludf.DUMMYFUNCTION("""COMPUTED_VALUE"""),"I don't have a preference")</f>
        <v>I don't have a preference</v>
      </c>
      <c r="F22" s="2" t="str">
        <f>IFERROR(__xludf.DUMMYFUNCTION("""COMPUTED_VALUE"""),"Yes")</f>
        <v>Yes</v>
      </c>
    </row>
    <row r="23">
      <c r="A23" s="8">
        <f>IFERROR(__xludf.DUMMYFUNCTION("""COMPUTED_VALUE"""),45629.75663921297)</f>
        <v>45629.75664</v>
      </c>
      <c r="B23" s="2" t="str">
        <f>IFERROR(__xludf.DUMMYFUNCTION("""COMPUTED_VALUE"""),"nn43@njit.edu")</f>
        <v>nn43@njit.edu</v>
      </c>
      <c r="C23" s="7" t="str">
        <f>IFERROR(__xludf.DUMMYFUNCTION("""COMPUTED_VALUE"""),"1.5+1.5 hour format")</f>
        <v>1.5+1.5 hour format</v>
      </c>
      <c r="D23" s="2" t="str">
        <f>IFERROR(__xludf.DUMMYFUNCTION("""COMPUTED_VALUE"""),"I prefer to condense my sections into fewer days")</f>
        <v>I prefer to condense my sections into fewer days</v>
      </c>
      <c r="E23" s="2" t="str">
        <f>IFERROR(__xludf.DUMMYFUNCTION("""COMPUTED_VALUE"""),"Yes")</f>
        <v>Yes</v>
      </c>
      <c r="F23" s="2" t="str">
        <f>IFERROR(__xludf.DUMMYFUNCTION("""COMPUTED_VALUE"""),"Yes")</f>
        <v>Yes</v>
      </c>
    </row>
    <row r="24">
      <c r="A24" s="8">
        <f>IFERROR(__xludf.DUMMYFUNCTION("""COMPUTED_VALUE"""),45629.77465309028)</f>
        <v>45629.77465</v>
      </c>
      <c r="B24" s="2" t="str">
        <f>IFERROR(__xludf.DUMMYFUNCTION("""COMPUTED_VALUE"""),"meh43@njit.edu")</f>
        <v>meh43@njit.edu</v>
      </c>
      <c r="C24" s="7" t="str">
        <f>IFERROR(__xludf.DUMMYFUNCTION("""COMPUTED_VALUE"""),"3-hour format")</f>
        <v>3-hour format</v>
      </c>
      <c r="D24" s="2" t="str">
        <f>IFERROR(__xludf.DUMMYFUNCTION("""COMPUTED_VALUE"""),"I prefer to condense my sections into fewer days")</f>
        <v>I prefer to condense my sections into fewer days</v>
      </c>
      <c r="E24" s="2" t="str">
        <f>IFERROR(__xludf.DUMMYFUNCTION("""COMPUTED_VALUE"""),"Yes")</f>
        <v>Yes</v>
      </c>
      <c r="F24" s="2" t="str">
        <f>IFERROR(__xludf.DUMMYFUNCTION("""COMPUTED_VALUE"""),"I don't have a preference")</f>
        <v>I don't have a preference</v>
      </c>
    </row>
    <row r="25">
      <c r="A25" s="8">
        <f>IFERROR(__xludf.DUMMYFUNCTION("""COMPUTED_VALUE"""),45629.97109357639)</f>
        <v>45629.97109</v>
      </c>
      <c r="B25" s="2" t="str">
        <f>IFERROR(__xludf.DUMMYFUNCTION("""COMPUTED_VALUE"""),"dli@njit.edu")</f>
        <v>dli@njit.edu</v>
      </c>
      <c r="C25" s="7" t="str">
        <f>IFERROR(__xludf.DUMMYFUNCTION("""COMPUTED_VALUE"""),"3-hour format")</f>
        <v>3-hour format</v>
      </c>
      <c r="D25" s="2" t="str">
        <f>IFERROR(__xludf.DUMMYFUNCTION("""COMPUTED_VALUE"""),"I prefer to condense my sections into fewer days")</f>
        <v>I prefer to condense my sections into fewer days</v>
      </c>
      <c r="E25" s="2" t="str">
        <f>IFERROR(__xludf.DUMMYFUNCTION("""COMPUTED_VALUE"""),"Yes")</f>
        <v>Yes</v>
      </c>
      <c r="F25" s="2" t="str">
        <f>IFERROR(__xludf.DUMMYFUNCTION("""COMPUTED_VALUE"""),"No")</f>
        <v>No</v>
      </c>
    </row>
    <row r="26">
      <c r="A26" s="8">
        <f>IFERROR(__xludf.DUMMYFUNCTION("""COMPUTED_VALUE"""),45630.45503888889)</f>
        <v>45630.45504</v>
      </c>
      <c r="B26" s="2" t="str">
        <f>IFERROR(__xludf.DUMMYFUNCTION("""COMPUTED_VALUE"""),"skumar@njit.edu")</f>
        <v>skumar@njit.edu</v>
      </c>
      <c r="C26" s="7" t="str">
        <f>IFERROR(__xludf.DUMMYFUNCTION("""COMPUTED_VALUE"""),"1.5+1.5 hour format")</f>
        <v>1.5+1.5 hour format</v>
      </c>
      <c r="D26" s="2" t="str">
        <f>IFERROR(__xludf.DUMMYFUNCTION("""COMPUTED_VALUE"""),"I prefer to condense my sections into fewer days")</f>
        <v>I prefer to condense my sections into fewer days</v>
      </c>
      <c r="E26" s="2" t="str">
        <f>IFERROR(__xludf.DUMMYFUNCTION("""COMPUTED_VALUE"""),"No")</f>
        <v>No</v>
      </c>
      <c r="F26" s="2" t="str">
        <f>IFERROR(__xludf.DUMMYFUNCTION("""COMPUTED_VALUE"""),"Yes")</f>
        <v>Yes</v>
      </c>
    </row>
    <row r="27">
      <c r="A27" s="8">
        <f>IFERROR(__xludf.DUMMYFUNCTION("""COMPUTED_VALUE"""),45630.497149131945)</f>
        <v>45630.49715</v>
      </c>
      <c r="B27" s="2" t="str">
        <f>IFERROR(__xludf.DUMMYFUNCTION("""COMPUTED_VALUE"""),"monogiou@njit.edu")</f>
        <v>monogiou@njit.edu</v>
      </c>
      <c r="C27" s="7" t="str">
        <f>IFERROR(__xludf.DUMMYFUNCTION("""COMPUTED_VALUE"""),"3-hour format")</f>
        <v>3-hour format</v>
      </c>
      <c r="D27" s="2" t="str">
        <f>IFERROR(__xludf.DUMMYFUNCTION("""COMPUTED_VALUE"""),"I prefer my sections to be spread among more days")</f>
        <v>I prefer my sections to be spread among more days</v>
      </c>
      <c r="E27" s="2" t="str">
        <f>IFERROR(__xludf.DUMMYFUNCTION("""COMPUTED_VALUE"""),"I don't have a preference")</f>
        <v>I don't have a preference</v>
      </c>
      <c r="F27" s="2" t="str">
        <f>IFERROR(__xludf.DUMMYFUNCTION("""COMPUTED_VALUE"""),"No")</f>
        <v>No</v>
      </c>
    </row>
    <row r="28">
      <c r="A28" s="8">
        <f>IFERROR(__xludf.DUMMYFUNCTION("""COMPUTED_VALUE"""),45630.60757240741)</f>
        <v>45630.60757</v>
      </c>
      <c r="B28" s="2" t="str">
        <f>IFERROR(__xludf.DUMMYFUNCTION("""COMPUTED_VALUE"""),"itani@njit.edu")</f>
        <v>itani@njit.edu</v>
      </c>
      <c r="C28" s="7" t="str">
        <f>IFERROR(__xludf.DUMMYFUNCTION("""COMPUTED_VALUE"""),"I don't have a preference")</f>
        <v>I don't have a preference</v>
      </c>
      <c r="D28" s="2" t="str">
        <f>IFERROR(__xludf.DUMMYFUNCTION("""COMPUTED_VALUE"""),"I prefer to condense my sections into fewer days")</f>
        <v>I prefer to condense my sections into fewer days</v>
      </c>
      <c r="E28" s="2" t="str">
        <f>IFERROR(__xludf.DUMMYFUNCTION("""COMPUTED_VALUE"""),"No")</f>
        <v>No</v>
      </c>
      <c r="F28" s="2" t="str">
        <f>IFERROR(__xludf.DUMMYFUNCTION("""COMPUTED_VALUE"""),"Yes")</f>
        <v>Yes</v>
      </c>
    </row>
    <row r="29">
      <c r="A29" s="8">
        <f>IFERROR(__xludf.DUMMYFUNCTION("""COMPUTED_VALUE"""),45630.608876956016)</f>
        <v>45630.60888</v>
      </c>
      <c r="B29" s="2" t="str">
        <f>IFERROR(__xludf.DUMMYFUNCTION("""COMPUTED_VALUE"""),"mx6@njit.edu")</f>
        <v>mx6@njit.edu</v>
      </c>
      <c r="C29" s="7" t="str">
        <f>IFERROR(__xludf.DUMMYFUNCTION("""COMPUTED_VALUE"""),"3-hour format")</f>
        <v>3-hour format</v>
      </c>
      <c r="D29" s="2"/>
      <c r="E29" s="2"/>
      <c r="F29" s="2" t="str">
        <f>IFERROR(__xludf.DUMMYFUNCTION("""COMPUTED_VALUE"""),"I don't have a preference")</f>
        <v>I don't have a preference</v>
      </c>
    </row>
    <row r="30">
      <c r="A30" s="8">
        <f>IFERROR(__xludf.DUMMYFUNCTION("""COMPUTED_VALUE"""),45630.73142630787)</f>
        <v>45630.73143</v>
      </c>
      <c r="B30" s="2" t="str">
        <f>IFERROR(__xludf.DUMMYFUNCTION("""COMPUTED_VALUE"""),"usman@njit.edu")</f>
        <v>usman@njit.edu</v>
      </c>
      <c r="C30" s="7" t="str">
        <f>IFERROR(__xludf.DUMMYFUNCTION("""COMPUTED_VALUE"""),"3-hour format")</f>
        <v>3-hour format</v>
      </c>
      <c r="D30" s="2" t="str">
        <f>IFERROR(__xludf.DUMMYFUNCTION("""COMPUTED_VALUE"""),"I prefer to condense my sections into fewer days")</f>
        <v>I prefer to condense my sections into fewer days</v>
      </c>
      <c r="E30" s="2" t="str">
        <f>IFERROR(__xludf.DUMMYFUNCTION("""COMPUTED_VALUE"""),"Yes")</f>
        <v>Yes</v>
      </c>
      <c r="F30" s="2" t="str">
        <f>IFERROR(__xludf.DUMMYFUNCTION("""COMPUTED_VALUE"""),"Yes")</f>
        <v>Yes</v>
      </c>
    </row>
    <row r="31">
      <c r="A31" s="8">
        <f>IFERROR(__xludf.DUMMYFUNCTION("""COMPUTED_VALUE"""),45630.74694951389)</f>
        <v>45630.74695</v>
      </c>
      <c r="B31" s="2" t="str">
        <f>IFERROR(__xludf.DUMMYFUNCTION("""COMPUTED_VALUE"""),"chasewu@njit.edu")</f>
        <v>chasewu@njit.edu</v>
      </c>
      <c r="C31" s="7" t="str">
        <f>IFERROR(__xludf.DUMMYFUNCTION("""COMPUTED_VALUE"""),"3-hour format")</f>
        <v>3-hour format</v>
      </c>
      <c r="D31" s="2" t="str">
        <f>IFERROR(__xludf.DUMMYFUNCTION("""COMPUTED_VALUE"""),"I prefer to condense my sections into fewer days")</f>
        <v>I prefer to condense my sections into fewer days</v>
      </c>
      <c r="E31" s="2" t="str">
        <f>IFERROR(__xludf.DUMMYFUNCTION("""COMPUTED_VALUE"""),"I don't have a preference")</f>
        <v>I don't have a preference</v>
      </c>
      <c r="F31" s="2" t="str">
        <f>IFERROR(__xludf.DUMMYFUNCTION("""COMPUTED_VALUE"""),"Yes")</f>
        <v>Yes</v>
      </c>
    </row>
    <row r="32">
      <c r="A32" s="8">
        <f>IFERROR(__xludf.DUMMYFUNCTION("""COMPUTED_VALUE"""),45630.95101208334)</f>
        <v>45630.95101</v>
      </c>
      <c r="B32" s="2" t="str">
        <f>IFERROR(__xludf.DUMMYFUNCTION("""COMPUTED_VALUE"""),"geller@njit.edu")</f>
        <v>geller@njit.edu</v>
      </c>
      <c r="C32" s="7" t="str">
        <f>IFERROR(__xludf.DUMMYFUNCTION("""COMPUTED_VALUE"""),"3-hour format")</f>
        <v>3-hour format</v>
      </c>
      <c r="D32" s="2" t="str">
        <f>IFERROR(__xludf.DUMMYFUNCTION("""COMPUTED_VALUE"""),"I prefer to condense my sections into fewer days")</f>
        <v>I prefer to condense my sections into fewer days</v>
      </c>
      <c r="E32" s="2" t="str">
        <f>IFERROR(__xludf.DUMMYFUNCTION("""COMPUTED_VALUE"""),"I don't have a preference")</f>
        <v>I don't have a preference</v>
      </c>
      <c r="F32" s="2" t="str">
        <f>IFERROR(__xludf.DUMMYFUNCTION("""COMPUTED_VALUE"""),"I don't have a preference")</f>
        <v>I don't have a preference</v>
      </c>
    </row>
    <row r="33">
      <c r="A33" s="8">
        <f>IFERROR(__xludf.DUMMYFUNCTION("""COMPUTED_VALUE"""),45630.98021738426)</f>
        <v>45630.98022</v>
      </c>
      <c r="B33" s="2" t="str">
        <f>IFERROR(__xludf.DUMMYFUNCTION("""COMPUTED_VALUE"""),"amr239@njit.edu")</f>
        <v>amr239@njit.edu</v>
      </c>
      <c r="C33" s="7" t="str">
        <f>IFERROR(__xludf.DUMMYFUNCTION("""COMPUTED_VALUE"""),"3-hour format")</f>
        <v>3-hour format</v>
      </c>
      <c r="D33" s="2" t="str">
        <f>IFERROR(__xludf.DUMMYFUNCTION("""COMPUTED_VALUE"""),"I prefer to condense my sections into fewer days")</f>
        <v>I prefer to condense my sections into fewer days</v>
      </c>
      <c r="E33" s="2" t="str">
        <f>IFERROR(__xludf.DUMMYFUNCTION("""COMPUTED_VALUE"""),"Yes")</f>
        <v>Yes</v>
      </c>
      <c r="F33" s="2" t="str">
        <f>IFERROR(__xludf.DUMMYFUNCTION("""COMPUTED_VALUE"""),"Yes")</f>
        <v>Yes</v>
      </c>
    </row>
    <row r="34">
      <c r="A34" s="8">
        <f>IFERROR(__xludf.DUMMYFUNCTION("""COMPUTED_VALUE"""),45631.44722590278)</f>
        <v>45631.44723</v>
      </c>
      <c r="B34" s="2" t="str">
        <f>IFERROR(__xludf.DUMMYFUNCTION("""COMPUTED_VALUE"""),"lw324@njit.edu")</f>
        <v>lw324@njit.edu</v>
      </c>
      <c r="C34" s="7" t="str">
        <f>IFERROR(__xludf.DUMMYFUNCTION("""COMPUTED_VALUE"""),"3-hour format")</f>
        <v>3-hour format</v>
      </c>
      <c r="D34" s="2" t="str">
        <f>IFERROR(__xludf.DUMMYFUNCTION("""COMPUTED_VALUE"""),"I prefer to condense my sections into fewer days")</f>
        <v>I prefer to condense my sections into fewer days</v>
      </c>
      <c r="E34" s="2" t="str">
        <f>IFERROR(__xludf.DUMMYFUNCTION("""COMPUTED_VALUE"""),"Yes")</f>
        <v>Yes</v>
      </c>
      <c r="F34" s="2" t="str">
        <f>IFERROR(__xludf.DUMMYFUNCTION("""COMPUTED_VALUE"""),"Yes")</f>
        <v>Yes</v>
      </c>
    </row>
    <row r="35">
      <c r="A35" s="8">
        <f>IFERROR(__xludf.DUMMYFUNCTION("""COMPUTED_VALUE"""),45631.56651276621)</f>
        <v>45631.56651</v>
      </c>
      <c r="B35" s="2" t="str">
        <f>IFERROR(__xludf.DUMMYFUNCTION("""COMPUTED_VALUE"""),"llw2@njit.edu")</f>
        <v>llw2@njit.edu</v>
      </c>
      <c r="C35" s="7" t="str">
        <f>IFERROR(__xludf.DUMMYFUNCTION("""COMPUTED_VALUE"""),"1.5+1.5 hour format")</f>
        <v>1.5+1.5 hour format</v>
      </c>
      <c r="D35" s="2" t="str">
        <f>IFERROR(__xludf.DUMMYFUNCTION("""COMPUTED_VALUE"""),"I prefer to condense my sections into fewer days")</f>
        <v>I prefer to condense my sections into fewer days</v>
      </c>
      <c r="E35" s="2" t="str">
        <f>IFERROR(__xludf.DUMMYFUNCTION("""COMPUTED_VALUE"""),"I don't have a preference")</f>
        <v>I don't have a preference</v>
      </c>
      <c r="F35" s="2" t="str">
        <f>IFERROR(__xludf.DUMMYFUNCTION("""COMPUTED_VALUE"""),"I don't have a preference")</f>
        <v>I don't have a preference</v>
      </c>
    </row>
    <row r="36">
      <c r="A36" s="8">
        <f>IFERROR(__xludf.DUMMYFUNCTION("""COMPUTED_VALUE"""),45631.93007234953)</f>
        <v>45631.93007</v>
      </c>
      <c r="B36" s="2" t="str">
        <f>IFERROR(__xludf.DUMMYFUNCTION("""COMPUTED_VALUE"""),"nm886@njit.edu")</f>
        <v>nm886@njit.edu</v>
      </c>
      <c r="C36" s="7" t="str">
        <f>IFERROR(__xludf.DUMMYFUNCTION("""COMPUTED_VALUE"""),"1.5+1.5 hour format")</f>
        <v>1.5+1.5 hour format</v>
      </c>
      <c r="D36" s="2" t="str">
        <f>IFERROR(__xludf.DUMMYFUNCTION("""COMPUTED_VALUE"""),"I prefer to condense my sections into fewer days")</f>
        <v>I prefer to condense my sections into fewer days</v>
      </c>
      <c r="E36" s="2" t="str">
        <f>IFERROR(__xludf.DUMMYFUNCTION("""COMPUTED_VALUE"""),"No")</f>
        <v>No</v>
      </c>
      <c r="F36" s="2" t="str">
        <f>IFERROR(__xludf.DUMMYFUNCTION("""COMPUTED_VALUE"""),"Yes")</f>
        <v>Yes</v>
      </c>
    </row>
    <row r="37">
      <c r="A37" s="8">
        <f>IFERROR(__xludf.DUMMYFUNCTION("""COMPUTED_VALUE"""),45632.496286620364)</f>
        <v>45632.49629</v>
      </c>
      <c r="B37" s="2" t="str">
        <f>IFERROR(__xludf.DUMMYFUNCTION("""COMPUTED_VALUE"""),"lw29@njit.edu")</f>
        <v>lw29@njit.edu</v>
      </c>
      <c r="C37" s="7" t="str">
        <f>IFERROR(__xludf.DUMMYFUNCTION("""COMPUTED_VALUE"""),"3-hour format")</f>
        <v>3-hour format</v>
      </c>
      <c r="D37" s="2" t="str">
        <f>IFERROR(__xludf.DUMMYFUNCTION("""COMPUTED_VALUE"""),"I prefer to condense my sections into fewer days")</f>
        <v>I prefer to condense my sections into fewer days</v>
      </c>
      <c r="E37" s="2" t="str">
        <f>IFERROR(__xludf.DUMMYFUNCTION("""COMPUTED_VALUE"""),"I don't have a preference")</f>
        <v>I don't have a preference</v>
      </c>
      <c r="F37" s="2" t="str">
        <f>IFERROR(__xludf.DUMMYFUNCTION("""COMPUTED_VALUE"""),"I don't have a preference")</f>
        <v>I don't have a preference</v>
      </c>
    </row>
    <row r="38">
      <c r="A38" s="8">
        <f>IFERROR(__xludf.DUMMYFUNCTION("""COMPUTED_VALUE"""),45632.67691765046)</f>
        <v>45632.67692</v>
      </c>
      <c r="B38" s="2" t="str">
        <f>IFERROR(__xludf.DUMMYFUNCTION("""COMPUTED_VALUE"""),"jkb37@njit.edu")</f>
        <v>jkb37@njit.edu</v>
      </c>
      <c r="C38" s="7" t="str">
        <f>IFERROR(__xludf.DUMMYFUNCTION("""COMPUTED_VALUE"""),"3-hour format")</f>
        <v>3-hour format</v>
      </c>
      <c r="D38" s="2" t="str">
        <f>IFERROR(__xludf.DUMMYFUNCTION("""COMPUTED_VALUE"""),"I prefer to condense my sections into fewer days")</f>
        <v>I prefer to condense my sections into fewer days</v>
      </c>
      <c r="E38" s="2" t="str">
        <f>IFERROR(__xludf.DUMMYFUNCTION("""COMPUTED_VALUE"""),"Yes")</f>
        <v>Yes</v>
      </c>
      <c r="F38" s="2" t="str">
        <f>IFERROR(__xludf.DUMMYFUNCTION("""COMPUTED_VALUE"""),"Yes")</f>
        <v>Yes</v>
      </c>
    </row>
    <row r="39">
      <c r="A39" s="8">
        <f>IFERROR(__xludf.DUMMYFUNCTION("""COMPUTED_VALUE"""),45632.81631626157)</f>
        <v>45632.81632</v>
      </c>
      <c r="B39" s="2" t="str">
        <f>IFERROR(__xludf.DUMMYFUNCTION("""COMPUTED_VALUE"""),"zy8@njit.edu")</f>
        <v>zy8@njit.edu</v>
      </c>
      <c r="C39" s="7" t="str">
        <f>IFERROR(__xludf.DUMMYFUNCTION("""COMPUTED_VALUE"""),"I don't have a preference")</f>
        <v>I don't have a preference</v>
      </c>
      <c r="D39" s="2" t="str">
        <f>IFERROR(__xludf.DUMMYFUNCTION("""COMPUTED_VALUE"""),"I prefer to condense my sections into fewer days")</f>
        <v>I prefer to condense my sections into fewer days</v>
      </c>
      <c r="E39" s="2" t="str">
        <f>IFERROR(__xludf.DUMMYFUNCTION("""COMPUTED_VALUE"""),"I don't have a preference")</f>
        <v>I don't have a preference</v>
      </c>
      <c r="F39" s="2" t="str">
        <f>IFERROR(__xludf.DUMMYFUNCTION("""COMPUTED_VALUE"""),"Yes")</f>
        <v>Yes</v>
      </c>
    </row>
    <row r="40">
      <c r="A40" s="8">
        <f>IFERROR(__xludf.DUMMYFUNCTION("""COMPUTED_VALUE"""),45632.81775336805)</f>
        <v>45632.81775</v>
      </c>
      <c r="B40" s="2" t="str">
        <f>IFERROR(__xludf.DUMMYFUNCTION("""COMPUTED_VALUE"""),"crix@njit.edu")</f>
        <v>crix@njit.edu</v>
      </c>
      <c r="C40" s="7" t="str">
        <f>IFERROR(__xludf.DUMMYFUNCTION("""COMPUTED_VALUE"""),"3-hour format")</f>
        <v>3-hour format</v>
      </c>
      <c r="D40" s="2" t="str">
        <f>IFERROR(__xludf.DUMMYFUNCTION("""COMPUTED_VALUE"""),"I don't have a preference")</f>
        <v>I don't have a preference</v>
      </c>
      <c r="E40" s="2" t="str">
        <f>IFERROR(__xludf.DUMMYFUNCTION("""COMPUTED_VALUE"""),"I don't have a preference")</f>
        <v>I don't have a preference</v>
      </c>
      <c r="F40" s="2" t="str">
        <f>IFERROR(__xludf.DUMMYFUNCTION("""COMPUTED_VALUE"""),"I don't have a preference")</f>
        <v>I don't have a preference</v>
      </c>
    </row>
    <row r="41">
      <c r="A41" s="8">
        <f>IFERROR(__xludf.DUMMYFUNCTION("""COMPUTED_VALUE"""),45633.80136224537)</f>
        <v>45633.80136</v>
      </c>
      <c r="B41" s="2" t="str">
        <f>IFERROR(__xludf.DUMMYFUNCTION("""COMPUTED_VALUE"""),"mt85@njit.edu")</f>
        <v>mt85@njit.edu</v>
      </c>
      <c r="C41" s="7" t="str">
        <f>IFERROR(__xludf.DUMMYFUNCTION("""COMPUTED_VALUE"""),"I don't have a preference")</f>
        <v>I don't have a preference</v>
      </c>
      <c r="D41" s="2" t="str">
        <f>IFERROR(__xludf.DUMMYFUNCTION("""COMPUTED_VALUE"""),"I prefer to condense my sections into fewer days")</f>
        <v>I prefer to condense my sections into fewer days</v>
      </c>
      <c r="E41" s="2" t="str">
        <f>IFERROR(__xludf.DUMMYFUNCTION("""COMPUTED_VALUE"""),"Yes")</f>
        <v>Yes</v>
      </c>
      <c r="F41" s="2" t="str">
        <f>IFERROR(__xludf.DUMMYFUNCTION("""COMPUTED_VALUE"""),"Yes")</f>
        <v>Yes</v>
      </c>
    </row>
    <row r="42">
      <c r="A42" s="8">
        <f>IFERROR(__xludf.DUMMYFUNCTION("""COMPUTED_VALUE"""),45633.92620061342)</f>
        <v>45633.9262</v>
      </c>
      <c r="B42" s="2" t="str">
        <f>IFERROR(__xludf.DUMMYFUNCTION("""COMPUTED_VALUE"""),"sbar@njit.edu")</f>
        <v>sbar@njit.edu</v>
      </c>
      <c r="C42" s="7" t="str">
        <f>IFERROR(__xludf.DUMMYFUNCTION("""COMPUTED_VALUE"""),"I don't have a preference")</f>
        <v>I don't have a preference</v>
      </c>
      <c r="D42" s="2" t="str">
        <f>IFERROR(__xludf.DUMMYFUNCTION("""COMPUTED_VALUE"""),"I prefer to condense my sections into fewer days")</f>
        <v>I prefer to condense my sections into fewer days</v>
      </c>
      <c r="E42" s="2" t="str">
        <f>IFERROR(__xludf.DUMMYFUNCTION("""COMPUTED_VALUE"""),"I don't have a preference")</f>
        <v>I don't have a preference</v>
      </c>
      <c r="F42" s="2" t="str">
        <f>IFERROR(__xludf.DUMMYFUNCTION("""COMPUTED_VALUE"""),"I don't have a preference")</f>
        <v>I don't have a preference</v>
      </c>
    </row>
    <row r="43">
      <c r="A43" s="8">
        <f>IFERROR(__xludf.DUMMYFUNCTION("""COMPUTED_VALUE"""),45635.315681643515)</f>
        <v>45635.31568</v>
      </c>
      <c r="B43" s="2" t="str">
        <f>IFERROR(__xludf.DUMMYFUNCTION("""COMPUTED_VALUE"""),"senjutib@njit.edu")</f>
        <v>senjutib@njit.edu</v>
      </c>
      <c r="C43" s="7" t="str">
        <f>IFERROR(__xludf.DUMMYFUNCTION("""COMPUTED_VALUE"""),"I don't have a preference")</f>
        <v>I don't have a preference</v>
      </c>
      <c r="D43" s="2" t="str">
        <f>IFERROR(__xludf.DUMMYFUNCTION("""COMPUTED_VALUE"""),"I don't have a preference")</f>
        <v>I don't have a preference</v>
      </c>
      <c r="E43" s="2" t="str">
        <f>IFERROR(__xludf.DUMMYFUNCTION("""COMPUTED_VALUE"""),"No")</f>
        <v>No</v>
      </c>
      <c r="F43" s="2" t="str">
        <f>IFERROR(__xludf.DUMMYFUNCTION("""COMPUTED_VALUE"""),"I don't have a preference")</f>
        <v>I don't have a preference</v>
      </c>
    </row>
    <row r="44">
      <c r="A44" s="8">
        <f>IFERROR(__xludf.DUMMYFUNCTION("""COMPUTED_VALUE"""),45635.66939230324)</f>
        <v>45635.66939</v>
      </c>
      <c r="B44" s="2" t="str">
        <f>IFERROR(__xludf.DUMMYFUNCTION("""COMPUTED_VALUE"""),"rav6@njit.edu")</f>
        <v>rav6@njit.edu</v>
      </c>
      <c r="C44" s="7" t="str">
        <f>IFERROR(__xludf.DUMMYFUNCTION("""COMPUTED_VALUE"""),"1.5+1.5 hour format")</f>
        <v>1.5+1.5 hour format</v>
      </c>
      <c r="D44" s="2" t="str">
        <f>IFERROR(__xludf.DUMMYFUNCTION("""COMPUTED_VALUE"""),"I prefer to condense my sections into fewer days")</f>
        <v>I prefer to condense my sections into fewer days</v>
      </c>
      <c r="E44" s="2" t="str">
        <f>IFERROR(__xludf.DUMMYFUNCTION("""COMPUTED_VALUE"""),"Yes")</f>
        <v>Yes</v>
      </c>
      <c r="F44" s="2" t="str">
        <f>IFERROR(__xludf.DUMMYFUNCTION("""COMPUTED_VALUE"""),"Yes")</f>
        <v>Yes</v>
      </c>
    </row>
    <row r="45">
      <c r="A45" s="8">
        <f>IFERROR(__xludf.DUMMYFUNCTION("""COMPUTED_VALUE"""),45635.754530474536)</f>
        <v>45635.75453</v>
      </c>
      <c r="B45" s="2" t="str">
        <f>IFERROR(__xludf.DUMMYFUNCTION("""COMPUTED_VALUE"""),"krn9@njit.edu")</f>
        <v>krn9@njit.edu</v>
      </c>
      <c r="C45" s="7" t="str">
        <f>IFERROR(__xludf.DUMMYFUNCTION("""COMPUTED_VALUE"""),"I don't have a preference")</f>
        <v>I don't have a preference</v>
      </c>
      <c r="D45" s="2" t="str">
        <f>IFERROR(__xludf.DUMMYFUNCTION("""COMPUTED_VALUE"""),"I prefer to condense my sections into fewer days")</f>
        <v>I prefer to condense my sections into fewer days</v>
      </c>
      <c r="E45" s="2" t="str">
        <f>IFERROR(__xludf.DUMMYFUNCTION("""COMPUTED_VALUE"""),"I don't have a preference")</f>
        <v>I don't have a preference</v>
      </c>
      <c r="F45" s="2" t="str">
        <f>IFERROR(__xludf.DUMMYFUNCTION("""COMPUTED_VALUE"""),"I don't have a preference")</f>
        <v>I don't have a preference</v>
      </c>
    </row>
    <row r="46">
      <c r="A46" s="8">
        <f>IFERROR(__xludf.DUMMYFUNCTION("""COMPUTED_VALUE"""),45636.45637739583)</f>
        <v>45636.45638</v>
      </c>
      <c r="B46" s="2" t="str">
        <f>IFERROR(__xludf.DUMMYFUNCTION("""COMPUTED_VALUE"""),"hyl4@njit.edu")</f>
        <v>hyl4@njit.edu</v>
      </c>
      <c r="C46" s="7" t="str">
        <f>IFERROR(__xludf.DUMMYFUNCTION("""COMPUTED_VALUE"""),"I don't have a preference")</f>
        <v>I don't have a preference</v>
      </c>
      <c r="D46" s="2" t="str">
        <f>IFERROR(__xludf.DUMMYFUNCTION("""COMPUTED_VALUE"""),"I prefer to condense my sections into fewer days")</f>
        <v>I prefer to condense my sections into fewer days</v>
      </c>
      <c r="E46" s="2" t="str">
        <f>IFERROR(__xludf.DUMMYFUNCTION("""COMPUTED_VALUE"""),"No")</f>
        <v>No</v>
      </c>
      <c r="F46" s="2" t="str">
        <f>IFERROR(__xludf.DUMMYFUNCTION("""COMPUTED_VALUE"""),"Yes")</f>
        <v>Yes</v>
      </c>
    </row>
    <row r="47">
      <c r="A47" s="8">
        <f>IFERROR(__xludf.DUMMYFUNCTION("""COMPUTED_VALUE"""),45636.504630671305)</f>
        <v>45636.50463</v>
      </c>
      <c r="B47" s="2" t="str">
        <f>IFERROR(__xludf.DUMMYFUNCTION("""COMPUTED_VALUE"""),"ineamtiu@njit.edu")</f>
        <v>ineamtiu@njit.edu</v>
      </c>
      <c r="C47" s="7" t="str">
        <f>IFERROR(__xludf.DUMMYFUNCTION("""COMPUTED_VALUE"""),"I don't have a preference")</f>
        <v>I don't have a preference</v>
      </c>
      <c r="D47" s="2" t="str">
        <f>IFERROR(__xludf.DUMMYFUNCTION("""COMPUTED_VALUE"""),"I don't have a preference")</f>
        <v>I don't have a preference</v>
      </c>
      <c r="E47" s="2" t="str">
        <f>IFERROR(__xludf.DUMMYFUNCTION("""COMPUTED_VALUE"""),"I don't have a preference")</f>
        <v>I don't have a preference</v>
      </c>
      <c r="F47" s="2" t="str">
        <f>IFERROR(__xludf.DUMMYFUNCTION("""COMPUTED_VALUE"""),"I don't have a preference")</f>
        <v>I don't have a preference</v>
      </c>
    </row>
    <row r="48">
      <c r="A48" s="8">
        <f>IFERROR(__xludf.DUMMYFUNCTION("""COMPUTED_VALUE"""),45636.57646811343)</f>
        <v>45636.57647</v>
      </c>
      <c r="B48" s="2" t="str">
        <f>IFERROR(__xludf.DUMMYFUNCTION("""COMPUTED_VALUE"""),"sohna@njit.edu")</f>
        <v>sohna@njit.edu</v>
      </c>
      <c r="C48" s="7" t="str">
        <f>IFERROR(__xludf.DUMMYFUNCTION("""COMPUTED_VALUE"""),"1.5+1.5 hour format")</f>
        <v>1.5+1.5 hour format</v>
      </c>
      <c r="D48" s="2" t="str">
        <f>IFERROR(__xludf.DUMMYFUNCTION("""COMPUTED_VALUE"""),"I prefer to condense my sections into fewer days")</f>
        <v>I prefer to condense my sections into fewer days</v>
      </c>
      <c r="E48" s="2" t="str">
        <f>IFERROR(__xludf.DUMMYFUNCTION("""COMPUTED_VALUE"""),"No")</f>
        <v>No</v>
      </c>
      <c r="F48" s="2" t="str">
        <f>IFERROR(__xludf.DUMMYFUNCTION("""COMPUTED_VALUE"""),"No")</f>
        <v>No</v>
      </c>
    </row>
    <row r="49">
      <c r="A49" s="8">
        <f>IFERROR(__xludf.DUMMYFUNCTION("""COMPUTED_VALUE"""),45636.699964872685)</f>
        <v>45636.69996</v>
      </c>
      <c r="B49" s="2" t="str">
        <f>IFERROR(__xludf.DUMMYFUNCTION("""COMPUTED_VALUE"""),"vinnikov@njit.edu")</f>
        <v>vinnikov@njit.edu</v>
      </c>
      <c r="C49" s="7" t="str">
        <f>IFERROR(__xludf.DUMMYFUNCTION("""COMPUTED_VALUE"""),"1.5+1.5 hour format")</f>
        <v>1.5+1.5 hour format</v>
      </c>
      <c r="D49" s="2" t="str">
        <f>IFERROR(__xludf.DUMMYFUNCTION("""COMPUTED_VALUE"""),"I prefer to condense my sections into fewer days")</f>
        <v>I prefer to condense my sections into fewer days</v>
      </c>
      <c r="E49" s="2" t="str">
        <f>IFERROR(__xludf.DUMMYFUNCTION("""COMPUTED_VALUE"""),"I don't have a preference")</f>
        <v>I don't have a preference</v>
      </c>
      <c r="F49" s="2" t="str">
        <f>IFERROR(__xludf.DUMMYFUNCTION("""COMPUTED_VALUE"""),"Yes")</f>
        <v>Yes</v>
      </c>
    </row>
    <row r="50">
      <c r="A50" s="8">
        <f>IFERROR(__xludf.DUMMYFUNCTION("""COMPUTED_VALUE"""),45637.48059241898)</f>
        <v>45637.48059</v>
      </c>
      <c r="B50" s="2" t="str">
        <f>IFERROR(__xludf.DUMMYFUNCTION("""COMPUTED_VALUE"""),"ikoutis@njit.edu")</f>
        <v>ikoutis@njit.edu</v>
      </c>
      <c r="C50" s="7" t="str">
        <f>IFERROR(__xludf.DUMMYFUNCTION("""COMPUTED_VALUE"""),"3-hour format")</f>
        <v>3-hour format</v>
      </c>
      <c r="D50" s="2" t="str">
        <f>IFERROR(__xludf.DUMMYFUNCTION("""COMPUTED_VALUE"""),"I don't have a preference")</f>
        <v>I don't have a preference</v>
      </c>
      <c r="E50" s="2" t="str">
        <f>IFERROR(__xludf.DUMMYFUNCTION("""COMPUTED_VALUE"""),"I don't have a preference")</f>
        <v>I don't have a preference</v>
      </c>
      <c r="F50" s="2" t="str">
        <f>IFERROR(__xludf.DUMMYFUNCTION("""COMPUTED_VALUE"""),"Yes")</f>
        <v>Yes</v>
      </c>
    </row>
    <row r="51">
      <c r="A51" s="8">
        <f>IFERROR(__xludf.DUMMYFUNCTION("""COMPUTED_VALUE"""),45637.48660694444)</f>
        <v>45637.48661</v>
      </c>
      <c r="B51" s="2" t="str">
        <f>IFERROR(__xludf.DUMMYFUNCTION("""COMPUTED_VALUE"""),"mjlee@njit.edu")</f>
        <v>mjlee@njit.edu</v>
      </c>
      <c r="C51" s="7" t="str">
        <f>IFERROR(__xludf.DUMMYFUNCTION("""COMPUTED_VALUE"""),"3-hour format")</f>
        <v>3-hour format</v>
      </c>
      <c r="D51" s="2" t="str">
        <f>IFERROR(__xludf.DUMMYFUNCTION("""COMPUTED_VALUE"""),"I prefer to condense my sections into fewer days")</f>
        <v>I prefer to condense my sections into fewer days</v>
      </c>
      <c r="E51" s="2" t="str">
        <f>IFERROR(__xludf.DUMMYFUNCTION("""COMPUTED_VALUE"""),"I don't have a preference")</f>
        <v>I don't have a preference</v>
      </c>
      <c r="F51" s="2" t="str">
        <f>IFERROR(__xludf.DUMMYFUNCTION("""COMPUTED_VALUE"""),"Yes")</f>
        <v>Yes</v>
      </c>
    </row>
    <row r="52">
      <c r="A52" s="8">
        <f>IFERROR(__xludf.DUMMYFUNCTION("""COMPUTED_VALUE"""),45637.48876454861)</f>
        <v>45637.48876</v>
      </c>
      <c r="B52" s="2" t="str">
        <f>IFERROR(__xludf.DUMMYFUNCTION("""COMPUTED_VALUE"""),"oe2@njit.edu")</f>
        <v>oe2@njit.edu</v>
      </c>
      <c r="C52" s="7" t="str">
        <f>IFERROR(__xludf.DUMMYFUNCTION("""COMPUTED_VALUE"""),"3-hour format")</f>
        <v>3-hour format</v>
      </c>
      <c r="D52" s="2" t="str">
        <f>IFERROR(__xludf.DUMMYFUNCTION("""COMPUTED_VALUE"""),"I prefer to condense my sections into fewer days")</f>
        <v>I prefer to condense my sections into fewer days</v>
      </c>
      <c r="E52" s="2" t="str">
        <f>IFERROR(__xludf.DUMMYFUNCTION("""COMPUTED_VALUE"""),"Yes")</f>
        <v>Yes</v>
      </c>
      <c r="F52" s="2" t="str">
        <f>IFERROR(__xludf.DUMMYFUNCTION("""COMPUTED_VALUE"""),"Yes")</f>
        <v>Yes</v>
      </c>
    </row>
    <row r="53">
      <c r="A53" s="8">
        <f>IFERROR(__xludf.DUMMYFUNCTION("""COMPUTED_VALUE"""),45637.49081613427)</f>
        <v>45637.49082</v>
      </c>
      <c r="B53" s="2" t="str">
        <f>IFERROR(__xludf.DUMMYFUNCTION("""COMPUTED_VALUE"""),"ce85@njit.edu")</f>
        <v>ce85@njit.edu</v>
      </c>
      <c r="C53" s="7" t="str">
        <f>IFERROR(__xludf.DUMMYFUNCTION("""COMPUTED_VALUE"""),"I don't have a preference")</f>
        <v>I don't have a preference</v>
      </c>
      <c r="D53" s="2" t="str">
        <f>IFERROR(__xludf.DUMMYFUNCTION("""COMPUTED_VALUE"""),"I prefer to condense my sections into fewer days")</f>
        <v>I prefer to condense my sections into fewer days</v>
      </c>
      <c r="E53" s="2" t="str">
        <f>IFERROR(__xludf.DUMMYFUNCTION("""COMPUTED_VALUE"""),"I don't have a preference")</f>
        <v>I don't have a preference</v>
      </c>
      <c r="F53" s="2" t="str">
        <f>IFERROR(__xludf.DUMMYFUNCTION("""COMPUTED_VALUE"""),"I don't have a preference")</f>
        <v>I don't have a preference</v>
      </c>
    </row>
    <row r="54">
      <c r="A54" s="8">
        <f>IFERROR(__xludf.DUMMYFUNCTION("""COMPUTED_VALUE"""),45637.49212384259)</f>
        <v>45637.49212</v>
      </c>
      <c r="B54" s="2" t="str">
        <f>IFERROR(__xludf.DUMMYFUNCTION("""COMPUTED_VALUE"""),"ap2972@njit.edu")</f>
        <v>ap2972@njit.edu</v>
      </c>
      <c r="C54" s="7" t="str">
        <f>IFERROR(__xludf.DUMMYFUNCTION("""COMPUTED_VALUE"""),"I don't have a preference")</f>
        <v>I don't have a preference</v>
      </c>
      <c r="D54" s="2" t="str">
        <f>IFERROR(__xludf.DUMMYFUNCTION("""COMPUTED_VALUE"""),"I prefer to condense my sections into fewer days")</f>
        <v>I prefer to condense my sections into fewer days</v>
      </c>
      <c r="E54" s="2" t="str">
        <f>IFERROR(__xludf.DUMMYFUNCTION("""COMPUTED_VALUE"""),"I don't have a preference")</f>
        <v>I don't have a preference</v>
      </c>
      <c r="F54" s="2" t="str">
        <f>IFERROR(__xludf.DUMMYFUNCTION("""COMPUTED_VALUE"""),"I don't have a preference")</f>
        <v>I don't have a preference</v>
      </c>
    </row>
    <row r="55">
      <c r="A55" s="8">
        <f>IFERROR(__xludf.DUMMYFUNCTION("""COMPUTED_VALUE"""),45637.49676783565)</f>
        <v>45637.49677</v>
      </c>
      <c r="B55" s="2" t="str">
        <f>IFERROR(__xludf.DUMMYFUNCTION("""COMPUTED_VALUE"""),"dasg018@njit.edu")</f>
        <v>dasg018@njit.edu</v>
      </c>
      <c r="C55" s="7" t="str">
        <f>IFERROR(__xludf.DUMMYFUNCTION("""COMPUTED_VALUE"""),"1.5+1.5 hour format")</f>
        <v>1.5+1.5 hour format</v>
      </c>
      <c r="D55" s="2" t="str">
        <f>IFERROR(__xludf.DUMMYFUNCTION("""COMPUTED_VALUE"""),"I prefer to condense my sections into fewer days")</f>
        <v>I prefer to condense my sections into fewer days</v>
      </c>
      <c r="E55" s="2" t="str">
        <f>IFERROR(__xludf.DUMMYFUNCTION("""COMPUTED_VALUE"""),"No")</f>
        <v>No</v>
      </c>
      <c r="F55" s="2" t="str">
        <f>IFERROR(__xludf.DUMMYFUNCTION("""COMPUTED_VALUE"""),"I don't have a preference")</f>
        <v>I don't have a preference</v>
      </c>
    </row>
    <row r="56">
      <c r="A56" s="8">
        <f>IFERROR(__xludf.DUMMYFUNCTION("""COMPUTED_VALUE"""),45637.49927613426)</f>
        <v>45637.49928</v>
      </c>
      <c r="B56" s="2" t="str">
        <f>IFERROR(__xludf.DUMMYFUNCTION("""COMPUTED_VALUE"""),"sequeira@njit.edu")</f>
        <v>sequeira@njit.edu</v>
      </c>
      <c r="C56" s="7" t="str">
        <f>IFERROR(__xludf.DUMMYFUNCTION("""COMPUTED_VALUE"""),"1.5+1.5 hour format")</f>
        <v>1.5+1.5 hour format</v>
      </c>
      <c r="D56" s="2" t="str">
        <f>IFERROR(__xludf.DUMMYFUNCTION("""COMPUTED_VALUE"""),"I prefer to condense my sections into fewer days")</f>
        <v>I prefer to condense my sections into fewer days</v>
      </c>
      <c r="E56" s="2" t="str">
        <f>IFERROR(__xludf.DUMMYFUNCTION("""COMPUTED_VALUE"""),"I don't have a preference")</f>
        <v>I don't have a preference</v>
      </c>
      <c r="F56" s="2" t="str">
        <f>IFERROR(__xludf.DUMMYFUNCTION("""COMPUTED_VALUE"""),"Yes")</f>
        <v>Yes</v>
      </c>
    </row>
    <row r="57">
      <c r="A57" s="8">
        <f>IFERROR(__xludf.DUMMYFUNCTION("""COMPUTED_VALUE"""),45637.50086954861)</f>
        <v>45637.50087</v>
      </c>
      <c r="B57" s="2" t="str">
        <f>IFERROR(__xludf.DUMMYFUNCTION("""COMPUTED_VALUE"""),"kj373@njit.edu")</f>
        <v>kj373@njit.edu</v>
      </c>
      <c r="C57" s="7" t="str">
        <f>IFERROR(__xludf.DUMMYFUNCTION("""COMPUTED_VALUE"""),"1.5+1.5 hour format")</f>
        <v>1.5+1.5 hour format</v>
      </c>
      <c r="D57" s="2" t="str">
        <f>IFERROR(__xludf.DUMMYFUNCTION("""COMPUTED_VALUE"""),"I prefer to condense my sections into fewer days")</f>
        <v>I prefer to condense my sections into fewer days</v>
      </c>
      <c r="E57" s="2" t="str">
        <f>IFERROR(__xludf.DUMMYFUNCTION("""COMPUTED_VALUE"""),"I don't have a preference")</f>
        <v>I don't have a preference</v>
      </c>
      <c r="F57" s="2" t="str">
        <f>IFERROR(__xludf.DUMMYFUNCTION("""COMPUTED_VALUE"""),"I don't have a preference")</f>
        <v>I don't have a preference</v>
      </c>
    </row>
    <row r="58">
      <c r="A58" s="8">
        <f>IFERROR(__xludf.DUMMYFUNCTION("""COMPUTED_VALUE"""),45637.88896604167)</f>
        <v>45637.88897</v>
      </c>
      <c r="B58" s="2" t="str">
        <f>IFERROR(__xludf.DUMMYFUNCTION("""COMPUTED_VALUE"""),"pateldi@njit.edu")</f>
        <v>pateldi@njit.edu</v>
      </c>
      <c r="C58" s="7" t="str">
        <f>IFERROR(__xludf.DUMMYFUNCTION("""COMPUTED_VALUE"""),"3-hour format")</f>
        <v>3-hour format</v>
      </c>
      <c r="D58" s="2" t="str">
        <f>IFERROR(__xludf.DUMMYFUNCTION("""COMPUTED_VALUE"""),"I prefer to condense my sections into fewer days")</f>
        <v>I prefer to condense my sections into fewer days</v>
      </c>
      <c r="E58" s="2" t="str">
        <f>IFERROR(__xludf.DUMMYFUNCTION("""COMPUTED_VALUE"""),"I don't have a preference")</f>
        <v>I don't have a preference</v>
      </c>
      <c r="F58" s="2" t="str">
        <f>IFERROR(__xludf.DUMMYFUNCTION("""COMPUTED_VALUE"""),"Yes")</f>
        <v>Yes</v>
      </c>
    </row>
    <row r="59">
      <c r="A59" s="8">
        <f>IFERROR(__xludf.DUMMYFUNCTION("""COMPUTED_VALUE"""),45637.55156483796)</f>
        <v>45637.55156</v>
      </c>
      <c r="B59" s="2" t="str">
        <f>IFERROR(__xludf.DUMMYFUNCTION("""COMPUTED_VALUE"""),"ahh2@njit.edu")</f>
        <v>ahh2@njit.edu</v>
      </c>
      <c r="C59" s="7" t="str">
        <f>IFERROR(__xludf.DUMMYFUNCTION("""COMPUTED_VALUE"""),"1.5+1.5 hour format")</f>
        <v>1.5+1.5 hour format</v>
      </c>
      <c r="D59" s="2" t="str">
        <f>IFERROR(__xludf.DUMMYFUNCTION("""COMPUTED_VALUE"""),"I prefer to condense my sections into fewer days")</f>
        <v>I prefer to condense my sections into fewer days</v>
      </c>
      <c r="E59" s="2" t="str">
        <f>IFERROR(__xludf.DUMMYFUNCTION("""COMPUTED_VALUE"""),"Yes")</f>
        <v>Yes</v>
      </c>
      <c r="F59" s="2" t="str">
        <f>IFERROR(__xludf.DUMMYFUNCTION("""COMPUTED_VALUE"""),"Yes")</f>
        <v>Yes</v>
      </c>
    </row>
    <row r="60">
      <c r="A60" s="8">
        <f>IFERROR(__xludf.DUMMYFUNCTION("""COMPUTED_VALUE"""),45637.5148104051)</f>
        <v>45637.51481</v>
      </c>
      <c r="B60" s="2" t="str">
        <f>IFERROR(__xludf.DUMMYFUNCTION("""COMPUTED_VALUE"""),"ba62@njit.edu")</f>
        <v>ba62@njit.edu</v>
      </c>
      <c r="C60" s="7" t="str">
        <f>IFERROR(__xludf.DUMMYFUNCTION("""COMPUTED_VALUE"""),"1.5+1.5 hour format")</f>
        <v>1.5+1.5 hour format</v>
      </c>
      <c r="D60" s="2" t="str">
        <f>IFERROR(__xludf.DUMMYFUNCTION("""COMPUTED_VALUE"""),"I prefer to condense my sections into fewer days")</f>
        <v>I prefer to condense my sections into fewer days</v>
      </c>
      <c r="E60" s="2" t="str">
        <f>IFERROR(__xludf.DUMMYFUNCTION("""COMPUTED_VALUE"""),"No")</f>
        <v>No</v>
      </c>
      <c r="F60" s="2" t="str">
        <f>IFERROR(__xludf.DUMMYFUNCTION("""COMPUTED_VALUE"""),"No")</f>
        <v>No</v>
      </c>
    </row>
    <row r="61">
      <c r="A61" s="8">
        <f>IFERROR(__xludf.DUMMYFUNCTION("""COMPUTED_VALUE"""),45637.515289375)</f>
        <v>45637.51529</v>
      </c>
      <c r="B61" s="2" t="str">
        <f>IFERROR(__xludf.DUMMYFUNCTION("""COMPUTED_VALUE"""),"alexg@njit.edu")</f>
        <v>alexg@njit.edu</v>
      </c>
      <c r="C61" s="7" t="str">
        <f>IFERROR(__xludf.DUMMYFUNCTION("""COMPUTED_VALUE"""),"1.5+1.5 hour format")</f>
        <v>1.5+1.5 hour format</v>
      </c>
      <c r="D61" s="2" t="str">
        <f>IFERROR(__xludf.DUMMYFUNCTION("""COMPUTED_VALUE"""),"I prefer to condense my sections into fewer days")</f>
        <v>I prefer to condense my sections into fewer days</v>
      </c>
      <c r="E61" s="2" t="str">
        <f>IFERROR(__xludf.DUMMYFUNCTION("""COMPUTED_VALUE"""),"I don't have a preference")</f>
        <v>I don't have a preference</v>
      </c>
      <c r="F61" s="2" t="str">
        <f>IFERROR(__xludf.DUMMYFUNCTION("""COMPUTED_VALUE"""),"Yes")</f>
        <v>Yes</v>
      </c>
    </row>
    <row r="62">
      <c r="A62" s="8">
        <f>IFERROR(__xludf.DUMMYFUNCTION("""COMPUTED_VALUE"""),45637.568791273145)</f>
        <v>45637.56879</v>
      </c>
      <c r="B62" s="2" t="str">
        <f>IFERROR(__xludf.DUMMYFUNCTION("""COMPUTED_VALUE"""),"fh224@njit.edu")</f>
        <v>fh224@njit.edu</v>
      </c>
      <c r="C62" s="7" t="str">
        <f>IFERROR(__xludf.DUMMYFUNCTION("""COMPUTED_VALUE"""),"3-hour format")</f>
        <v>3-hour format</v>
      </c>
      <c r="D62" s="2" t="str">
        <f>IFERROR(__xludf.DUMMYFUNCTION("""COMPUTED_VALUE"""),"I prefer to condense my sections into fewer days")</f>
        <v>I prefer to condense my sections into fewer days</v>
      </c>
      <c r="E62" s="2" t="str">
        <f>IFERROR(__xludf.DUMMYFUNCTION("""COMPUTED_VALUE"""),"I don't have a preference")</f>
        <v>I don't have a preference</v>
      </c>
      <c r="F62" s="2" t="str">
        <f>IFERROR(__xludf.DUMMYFUNCTION("""COMPUTED_VALUE"""),"I don't have a preference")</f>
        <v>I don't have a preference</v>
      </c>
    </row>
    <row r="63">
      <c r="A63" s="8">
        <f>IFERROR(__xludf.DUMMYFUNCTION("""COMPUTED_VALUE"""),45637.66065086805)</f>
        <v>45637.66065</v>
      </c>
      <c r="B63" s="2" t="str">
        <f>IFERROR(__xludf.DUMMYFUNCTION("""COMPUTED_VALUE"""),"pvaish@njit.edu")</f>
        <v>pvaish@njit.edu</v>
      </c>
      <c r="C63" s="7" t="str">
        <f>IFERROR(__xludf.DUMMYFUNCTION("""COMPUTED_VALUE"""),"3-hour format")</f>
        <v>3-hour format</v>
      </c>
      <c r="D63" s="2" t="str">
        <f>IFERROR(__xludf.DUMMYFUNCTION("""COMPUTED_VALUE"""),"I prefer to condense my sections into fewer days")</f>
        <v>I prefer to condense my sections into fewer days</v>
      </c>
      <c r="E63" s="2" t="str">
        <f>IFERROR(__xludf.DUMMYFUNCTION("""COMPUTED_VALUE"""),"Yes")</f>
        <v>Yes</v>
      </c>
      <c r="F63" s="2" t="str">
        <f>IFERROR(__xludf.DUMMYFUNCTION("""COMPUTED_VALUE"""),"Yes")</f>
        <v>Yes</v>
      </c>
    </row>
    <row r="64">
      <c r="A64" s="8">
        <f>IFERROR(__xludf.DUMMYFUNCTION("""COMPUTED_VALUE"""),45637.82185483797)</f>
        <v>45637.82185</v>
      </c>
      <c r="B64" s="2" t="str">
        <f>IFERROR(__xludf.DUMMYFUNCTION("""COMPUTED_VALUE"""),"lay@njit.edu")</f>
        <v>lay@njit.edu</v>
      </c>
      <c r="C64" s="7" t="str">
        <f>IFERROR(__xludf.DUMMYFUNCTION("""COMPUTED_VALUE"""),"3-hour format")</f>
        <v>3-hour format</v>
      </c>
      <c r="D64" s="2" t="str">
        <f>IFERROR(__xludf.DUMMYFUNCTION("""COMPUTED_VALUE"""),"I prefer to condense my sections into fewer days")</f>
        <v>I prefer to condense my sections into fewer days</v>
      </c>
      <c r="E64" s="2" t="str">
        <f>IFERROR(__xludf.DUMMYFUNCTION("""COMPUTED_VALUE"""),"Yes")</f>
        <v>Yes</v>
      </c>
      <c r="F64" s="2" t="str">
        <f>IFERROR(__xludf.DUMMYFUNCTION("""COMPUTED_VALUE"""),"Yes")</f>
        <v>Yes</v>
      </c>
    </row>
    <row r="65">
      <c r="A65" s="8">
        <f>IFERROR(__xludf.DUMMYFUNCTION("""COMPUTED_VALUE"""),45637.89529296296)</f>
        <v>45637.89529</v>
      </c>
      <c r="B65" s="2" t="str">
        <f>IFERROR(__xludf.DUMMYFUNCTION("""COMPUTED_VALUE"""),"mc232@njit.edu")</f>
        <v>mc232@njit.edu</v>
      </c>
      <c r="C65" s="7" t="str">
        <f>IFERROR(__xludf.DUMMYFUNCTION("""COMPUTED_VALUE"""),"I don't have a preference")</f>
        <v>I don't have a preference</v>
      </c>
      <c r="D65" s="2" t="str">
        <f>IFERROR(__xludf.DUMMYFUNCTION("""COMPUTED_VALUE"""),"I prefer to condense my sections into fewer days")</f>
        <v>I prefer to condense my sections into fewer days</v>
      </c>
      <c r="E65" s="2" t="str">
        <f>IFERROR(__xludf.DUMMYFUNCTION("""COMPUTED_VALUE"""),"I don't have a preference")</f>
        <v>I don't have a preference</v>
      </c>
      <c r="F65" s="2" t="str">
        <f>IFERROR(__xludf.DUMMYFUNCTION("""COMPUTED_VALUE"""),"Yes")</f>
        <v>Yes</v>
      </c>
    </row>
    <row r="66">
      <c r="A66" s="8">
        <f>IFERROR(__xludf.DUMMYFUNCTION("""COMPUTED_VALUE"""),45638.40415072917)</f>
        <v>45638.40415</v>
      </c>
      <c r="B66" s="2" t="str">
        <f>IFERROR(__xludf.DUMMYFUNCTION("""COMPUTED_VALUE"""),"rk956@njit.edu")</f>
        <v>rk956@njit.edu</v>
      </c>
      <c r="C66" s="7" t="str">
        <f>IFERROR(__xludf.DUMMYFUNCTION("""COMPUTED_VALUE"""),"I don't have a preference")</f>
        <v>I don't have a preference</v>
      </c>
      <c r="D66" s="2" t="str">
        <f>IFERROR(__xludf.DUMMYFUNCTION("""COMPUTED_VALUE"""),"I prefer to condense my sections into fewer days")</f>
        <v>I prefer to condense my sections into fewer days</v>
      </c>
      <c r="E66" s="2" t="str">
        <f>IFERROR(__xludf.DUMMYFUNCTION("""COMPUTED_VALUE"""),"No")</f>
        <v>No</v>
      </c>
      <c r="F66" s="2" t="str">
        <f>IFERROR(__xludf.DUMMYFUNCTION("""COMPUTED_VALUE"""),"Yes")</f>
        <v>Yes</v>
      </c>
    </row>
    <row r="67">
      <c r="A67" s="8">
        <f>IFERROR(__xludf.DUMMYFUNCTION("""COMPUTED_VALUE"""),45638.567209270834)</f>
        <v>45638.56721</v>
      </c>
      <c r="B67" s="2" t="str">
        <f>IFERROR(__xludf.DUMMYFUNCTION("""COMPUTED_VALUE"""),"kb647@njit.edu")</f>
        <v>kb647@njit.edu</v>
      </c>
      <c r="C67" s="7" t="str">
        <f>IFERROR(__xludf.DUMMYFUNCTION("""COMPUTED_VALUE"""),"3-hour format")</f>
        <v>3-hour format</v>
      </c>
      <c r="D67" s="2" t="str">
        <f>IFERROR(__xludf.DUMMYFUNCTION("""COMPUTED_VALUE"""),"I prefer to condense my sections into fewer days")</f>
        <v>I prefer to condense my sections into fewer days</v>
      </c>
      <c r="E67" s="2" t="str">
        <f>IFERROR(__xludf.DUMMYFUNCTION("""COMPUTED_VALUE"""),"No")</f>
        <v>No</v>
      </c>
      <c r="F67" s="2" t="str">
        <f>IFERROR(__xludf.DUMMYFUNCTION("""COMPUTED_VALUE"""),"Yes")</f>
        <v>Yes</v>
      </c>
    </row>
    <row r="68">
      <c r="A68" s="8">
        <f>IFERROR(__xludf.DUMMYFUNCTION("""COMPUTED_VALUE"""),45638.600555682875)</f>
        <v>45638.60056</v>
      </c>
      <c r="B68" s="2" t="str">
        <f>IFERROR(__xludf.DUMMYFUNCTION("""COMPUTED_VALUE"""),"rutkowsk@njit.edu")</f>
        <v>rutkowsk@njit.edu</v>
      </c>
      <c r="C68" s="7" t="str">
        <f>IFERROR(__xludf.DUMMYFUNCTION("""COMPUTED_VALUE"""),"I don't have a preference")</f>
        <v>I don't have a preference</v>
      </c>
      <c r="D68" s="2" t="str">
        <f>IFERROR(__xludf.DUMMYFUNCTION("""COMPUTED_VALUE"""),"I prefer to condense my sections into fewer days")</f>
        <v>I prefer to condense my sections into fewer days</v>
      </c>
      <c r="E68" s="2" t="str">
        <f>IFERROR(__xludf.DUMMYFUNCTION("""COMPUTED_VALUE"""),"Yes")</f>
        <v>Yes</v>
      </c>
      <c r="F68" s="2" t="str">
        <f>IFERROR(__xludf.DUMMYFUNCTION("""COMPUTED_VALUE"""),"I don't have a preference")</f>
        <v>I don't have a preference</v>
      </c>
    </row>
    <row r="69">
      <c r="A69" s="8">
        <f>IFERROR(__xludf.DUMMYFUNCTION("""COMPUTED_VALUE"""),45638.60830650463)</f>
        <v>45638.60831</v>
      </c>
      <c r="B69" s="2" t="str">
        <f>IFERROR(__xludf.DUMMYFUNCTION("""COMPUTED_VALUE"""),"fy223@njit.edu")</f>
        <v>fy223@njit.edu</v>
      </c>
      <c r="C69" s="7" t="str">
        <f>IFERROR(__xludf.DUMMYFUNCTION("""COMPUTED_VALUE"""),"1.5+1.5 hour format")</f>
        <v>1.5+1.5 hour format</v>
      </c>
      <c r="D69" s="2" t="str">
        <f>IFERROR(__xludf.DUMMYFUNCTION("""COMPUTED_VALUE"""),"I prefer to condense my sections into fewer days")</f>
        <v>I prefer to condense my sections into fewer days</v>
      </c>
      <c r="E69" s="2" t="str">
        <f>IFERROR(__xludf.DUMMYFUNCTION("""COMPUTED_VALUE"""),"I don't have a preference")</f>
        <v>I don't have a preference</v>
      </c>
      <c r="F69" s="2" t="str">
        <f>IFERROR(__xludf.DUMMYFUNCTION("""COMPUTED_VALUE"""),"No")</f>
        <v>No</v>
      </c>
    </row>
    <row r="70">
      <c r="A70" s="8">
        <f>IFERROR(__xludf.DUMMYFUNCTION("""COMPUTED_VALUE"""),45638.61398548611)</f>
        <v>45638.61399</v>
      </c>
      <c r="B70" s="2" t="str">
        <f>IFERROR(__xludf.DUMMYFUNCTION("""COMPUTED_VALUE"""),"dth@njit.edu")</f>
        <v>dth@njit.edu</v>
      </c>
      <c r="C70" s="7" t="str">
        <f>IFERROR(__xludf.DUMMYFUNCTION("""COMPUTED_VALUE"""),"3-hour format")</f>
        <v>3-hour format</v>
      </c>
      <c r="D70" s="2" t="str">
        <f>IFERROR(__xludf.DUMMYFUNCTION("""COMPUTED_VALUE"""),"I prefer to condense my sections into fewer days")</f>
        <v>I prefer to condense my sections into fewer days</v>
      </c>
      <c r="E70" s="2" t="str">
        <f>IFERROR(__xludf.DUMMYFUNCTION("""COMPUTED_VALUE"""),"Yes")</f>
        <v>Yes</v>
      </c>
      <c r="F70" s="2" t="str">
        <f>IFERROR(__xludf.DUMMYFUNCTION("""COMPUTED_VALUE"""),"Yes")</f>
        <v>Yes</v>
      </c>
    </row>
    <row r="71">
      <c r="A71" s="8">
        <f>IFERROR(__xludf.DUMMYFUNCTION("""COMPUTED_VALUE"""),45638.62895668981)</f>
        <v>45638.62896</v>
      </c>
      <c r="B71" s="2" t="str">
        <f>IFERROR(__xludf.DUMMYFUNCTION("""COMPUTED_VALUE"""),"ak3257@njit.edu")</f>
        <v>ak3257@njit.edu</v>
      </c>
      <c r="C71" s="7" t="str">
        <f>IFERROR(__xludf.DUMMYFUNCTION("""COMPUTED_VALUE"""),"3-hour format")</f>
        <v>3-hour format</v>
      </c>
      <c r="D71" s="2" t="str">
        <f>IFERROR(__xludf.DUMMYFUNCTION("""COMPUTED_VALUE"""),"I prefer to condense my sections into fewer days")</f>
        <v>I prefer to condense my sections into fewer days</v>
      </c>
      <c r="E71" s="2" t="str">
        <f>IFERROR(__xludf.DUMMYFUNCTION("""COMPUTED_VALUE"""),"No")</f>
        <v>No</v>
      </c>
      <c r="F71" s="2" t="str">
        <f>IFERROR(__xludf.DUMMYFUNCTION("""COMPUTED_VALUE"""),"Yes")</f>
        <v>Yes</v>
      </c>
    </row>
    <row r="72">
      <c r="A72" s="8">
        <f>IFERROR(__xludf.DUMMYFUNCTION("""COMPUTED_VALUE"""),45638.68525582176)</f>
        <v>45638.68526</v>
      </c>
      <c r="B72" s="2" t="str">
        <f>IFERROR(__xludf.DUMMYFUNCTION("""COMPUTED_VALUE"""),"acz6@njit.edu")</f>
        <v>acz6@njit.edu</v>
      </c>
      <c r="C72" s="7" t="str">
        <f>IFERROR(__xludf.DUMMYFUNCTION("""COMPUTED_VALUE"""),"I don't have a preference")</f>
        <v>I don't have a preference</v>
      </c>
      <c r="D72" s="2" t="str">
        <f>IFERROR(__xludf.DUMMYFUNCTION("""COMPUTED_VALUE"""),"I prefer to condense my sections into fewer days")</f>
        <v>I prefer to condense my sections into fewer days</v>
      </c>
      <c r="E72" s="2" t="str">
        <f>IFERROR(__xludf.DUMMYFUNCTION("""COMPUTED_VALUE"""),"I don't have a preference")</f>
        <v>I don't have a preference</v>
      </c>
      <c r="F72" s="2" t="str">
        <f>IFERROR(__xludf.DUMMYFUNCTION("""COMPUTED_VALUE"""),"Yes")</f>
        <v>Yes</v>
      </c>
    </row>
    <row r="73">
      <c r="A73" s="8">
        <f>IFERROR(__xludf.DUMMYFUNCTION("""COMPUTED_VALUE"""),45638.74538148147)</f>
        <v>45638.74538</v>
      </c>
      <c r="B73" s="2" t="str">
        <f>IFERROR(__xludf.DUMMYFUNCTION("""COMPUTED_VALUE"""),"ullman@njit.edu")</f>
        <v>ullman@njit.edu</v>
      </c>
      <c r="C73" s="7" t="str">
        <f>IFERROR(__xludf.DUMMYFUNCTION("""COMPUTED_VALUE"""),"1.5+1.5 hour format")</f>
        <v>1.5+1.5 hour format</v>
      </c>
      <c r="D73" s="2" t="str">
        <f>IFERROR(__xludf.DUMMYFUNCTION("""COMPUTED_VALUE"""),"I prefer to condense my sections into fewer days")</f>
        <v>I prefer to condense my sections into fewer days</v>
      </c>
      <c r="E73" s="2" t="str">
        <f>IFERROR(__xludf.DUMMYFUNCTION("""COMPUTED_VALUE"""),"Yes")</f>
        <v>Yes</v>
      </c>
      <c r="F73" s="2" t="str">
        <f>IFERROR(__xludf.DUMMYFUNCTION("""COMPUTED_VALUE"""),"I don't have a preference")</f>
        <v>I don't have a preference</v>
      </c>
    </row>
    <row r="74">
      <c r="A74" s="8">
        <f>IFERROR(__xludf.DUMMYFUNCTION("""COMPUTED_VALUE"""),45639.37570008102)</f>
        <v>45639.3757</v>
      </c>
      <c r="B74" s="2" t="str">
        <f>IFERROR(__xludf.DUMMYFUNCTION("""COMPUTED_VALUE"""),"md685@njit.edu")</f>
        <v>md685@njit.edu</v>
      </c>
      <c r="C74" s="7" t="str">
        <f>IFERROR(__xludf.DUMMYFUNCTION("""COMPUTED_VALUE"""),"1.5+1.5 hour format")</f>
        <v>1.5+1.5 hour format</v>
      </c>
      <c r="D74" s="2" t="str">
        <f>IFERROR(__xludf.DUMMYFUNCTION("""COMPUTED_VALUE"""),"I prefer to condense my sections into fewer days")</f>
        <v>I prefer to condense my sections into fewer days</v>
      </c>
      <c r="E74" s="2" t="str">
        <f>IFERROR(__xludf.DUMMYFUNCTION("""COMPUTED_VALUE"""),"No")</f>
        <v>No</v>
      </c>
      <c r="F74" s="2" t="str">
        <f>IFERROR(__xludf.DUMMYFUNCTION("""COMPUTED_VALUE"""),"Yes")</f>
        <v>Yes</v>
      </c>
    </row>
    <row r="75">
      <c r="A75" s="8">
        <f>IFERROR(__xludf.DUMMYFUNCTION("""COMPUTED_VALUE"""),45650.8497878588)</f>
        <v>45650.84979</v>
      </c>
      <c r="B75" s="2" t="str">
        <f>IFERROR(__xludf.DUMMYFUNCTION("""COMPUTED_VALUE"""),"nassimi@njit.edu")</f>
        <v>nassimi@njit.edu</v>
      </c>
      <c r="C75" s="7" t="str">
        <f>IFERROR(__xludf.DUMMYFUNCTION("""COMPUTED_VALUE"""),"1.5+1.5 hour format")</f>
        <v>1.5+1.5 hour format</v>
      </c>
      <c r="D75" s="2" t="str">
        <f>IFERROR(__xludf.DUMMYFUNCTION("""COMPUTED_VALUE"""),"I prefer to condense my sections into fewer days")</f>
        <v>I prefer to condense my sections into fewer days</v>
      </c>
      <c r="E75" s="2" t="str">
        <f>IFERROR(__xludf.DUMMYFUNCTION("""COMPUTED_VALUE"""),"No")</f>
        <v>No</v>
      </c>
      <c r="F75" s="2" t="str">
        <f>IFERROR(__xludf.DUMMYFUNCTION("""COMPUTED_VALUE"""),"No")</f>
        <v>No</v>
      </c>
    </row>
    <row r="76">
      <c r="A76" s="8">
        <f>IFERROR(__xludf.DUMMYFUNCTION("""COMPUTED_VALUE"""),45667.42670671296)</f>
        <v>45667.42671</v>
      </c>
      <c r="B76" s="2" t="str">
        <f>IFERROR(__xludf.DUMMYFUNCTION("""COMPUTED_VALUE"""),"kxm4@njit.edu")</f>
        <v>kxm4@njit.edu</v>
      </c>
      <c r="C76" s="7" t="str">
        <f>IFERROR(__xludf.DUMMYFUNCTION("""COMPUTED_VALUE"""),"3-hour format")</f>
        <v>3-hour format</v>
      </c>
      <c r="D76" s="2" t="str">
        <f>IFERROR(__xludf.DUMMYFUNCTION("""COMPUTED_VALUE"""),"I prefer to condense my sections into fewer days")</f>
        <v>I prefer to condense my sections into fewer days</v>
      </c>
      <c r="E76" s="2" t="str">
        <f>IFERROR(__xludf.DUMMYFUNCTION("""COMPUTED_VALUE"""),"No")</f>
        <v>No</v>
      </c>
      <c r="F76" s="2" t="str">
        <f>IFERROR(__xludf.DUMMYFUNCTION("""COMPUTED_VALUE"""),"No")</f>
        <v>No</v>
      </c>
    </row>
    <row r="77">
      <c r="A77" s="8">
        <f>IFERROR(__xludf.DUMMYFUNCTION("""COMPUTED_VALUE"""),45667.437094375004)</f>
        <v>45667.43709</v>
      </c>
      <c r="B77" s="2" t="str">
        <f>IFERROR(__xludf.DUMMYFUNCTION("""COMPUTED_VALUE"""),"cs638@njit.edu")</f>
        <v>cs638@njit.edu</v>
      </c>
      <c r="C77" s="7" t="str">
        <f>IFERROR(__xludf.DUMMYFUNCTION("""COMPUTED_VALUE"""),"3-hour format")</f>
        <v>3-hour format</v>
      </c>
      <c r="D77" s="2" t="str">
        <f>IFERROR(__xludf.DUMMYFUNCTION("""COMPUTED_VALUE"""),"I don't have a preference")</f>
        <v>I don't have a preference</v>
      </c>
      <c r="E77" s="2" t="str">
        <f>IFERROR(__xludf.DUMMYFUNCTION("""COMPUTED_VALUE"""),"I don't have a preference")</f>
        <v>I don't have a preference</v>
      </c>
      <c r="F77" s="2" t="str">
        <f>IFERROR(__xludf.DUMMYFUNCTION("""COMPUTED_VALUE"""),"I don't have a preference")</f>
        <v>I don't have a preference</v>
      </c>
    </row>
    <row r="78">
      <c r="A78" s="8"/>
      <c r="B78" s="2"/>
      <c r="C78" s="7"/>
      <c r="D78" s="2"/>
      <c r="E78" s="2"/>
      <c r="F78" s="2"/>
    </row>
    <row r="79">
      <c r="A79" s="8"/>
      <c r="B79" s="2"/>
      <c r="C79" s="7"/>
      <c r="D79" s="2"/>
      <c r="E79" s="2"/>
      <c r="F79" s="2"/>
    </row>
    <row r="80">
      <c r="A80" s="8"/>
      <c r="B80" s="2"/>
      <c r="C80" s="7"/>
      <c r="D80" s="2"/>
      <c r="E80" s="2"/>
      <c r="F80" s="2"/>
    </row>
    <row r="81">
      <c r="A81" s="8"/>
      <c r="B81" s="2"/>
      <c r="C81" s="7"/>
      <c r="D81" s="2"/>
      <c r="E81" s="2"/>
      <c r="F81" s="2"/>
    </row>
    <row r="82">
      <c r="A82" s="8"/>
      <c r="B82" s="2"/>
      <c r="C82" s="7"/>
      <c r="D82" s="2"/>
      <c r="E82" s="2"/>
      <c r="F82" s="2"/>
    </row>
    <row r="83">
      <c r="A83" s="8"/>
      <c r="B83" s="2"/>
      <c r="C83" s="7"/>
      <c r="D83" s="2"/>
      <c r="E83" s="2"/>
      <c r="F83" s="2"/>
    </row>
    <row r="84">
      <c r="A84" s="8"/>
      <c r="B84" s="2"/>
      <c r="C84" s="7"/>
      <c r="D84" s="2"/>
      <c r="E84" s="2"/>
      <c r="F84" s="2"/>
    </row>
    <row r="85">
      <c r="A85" s="8"/>
      <c r="B85" s="2"/>
      <c r="C85" s="7"/>
      <c r="D85" s="2"/>
      <c r="E85" s="2"/>
      <c r="F85" s="2"/>
    </row>
    <row r="86">
      <c r="A86" s="8"/>
      <c r="B86" s="2"/>
      <c r="C86" s="7"/>
      <c r="D86" s="2"/>
      <c r="E86" s="2"/>
      <c r="F86" s="2"/>
    </row>
    <row r="87">
      <c r="A87" s="8"/>
      <c r="B87" s="2"/>
      <c r="C87" s="7"/>
      <c r="D87" s="2"/>
      <c r="E87" s="2"/>
      <c r="F87" s="2"/>
    </row>
    <row r="88">
      <c r="A88" s="8"/>
      <c r="B88" s="2"/>
      <c r="C88" s="7"/>
      <c r="D88" s="2"/>
      <c r="E88" s="2"/>
      <c r="F88" s="2"/>
    </row>
    <row r="89">
      <c r="A89" s="8"/>
      <c r="B89" s="2"/>
      <c r="C89" s="7"/>
      <c r="D89" s="2"/>
      <c r="E89" s="2"/>
      <c r="F89" s="2"/>
    </row>
    <row r="90">
      <c r="A90" s="8"/>
      <c r="B90" s="2"/>
      <c r="C90" s="7"/>
      <c r="D90" s="2"/>
      <c r="E90" s="2"/>
      <c r="F90" s="2"/>
    </row>
    <row r="91">
      <c r="A91" s="8"/>
      <c r="B91" s="2"/>
      <c r="C91" s="7"/>
      <c r="D91" s="2"/>
      <c r="E91" s="2"/>
      <c r="F91" s="2"/>
    </row>
    <row r="92">
      <c r="A92" s="8"/>
      <c r="B92" s="2"/>
      <c r="C92" s="7"/>
      <c r="D92" s="2"/>
      <c r="E92" s="2"/>
      <c r="F92" s="2"/>
    </row>
    <row r="93">
      <c r="A93" s="8"/>
      <c r="B93" s="2"/>
      <c r="C93" s="7"/>
      <c r="D93" s="2"/>
      <c r="E93" s="2"/>
      <c r="F93" s="2"/>
    </row>
    <row r="94">
      <c r="A94" s="8"/>
      <c r="B94" s="2"/>
      <c r="C94" s="7"/>
      <c r="D94" s="2"/>
      <c r="E94" s="2"/>
      <c r="F94" s="2"/>
    </row>
    <row r="95">
      <c r="A95" s="8"/>
      <c r="B95" s="2"/>
      <c r="C95" s="7"/>
      <c r="D95" s="2"/>
      <c r="E95" s="2"/>
      <c r="F95" s="2"/>
    </row>
    <row r="96">
      <c r="A96" s="8"/>
      <c r="B96" s="2"/>
      <c r="C96" s="7"/>
      <c r="D96" s="2"/>
      <c r="E96" s="2"/>
      <c r="F96" s="2"/>
    </row>
    <row r="97">
      <c r="A97" s="8"/>
      <c r="B97" s="2"/>
      <c r="C97" s="7"/>
      <c r="D97" s="2"/>
      <c r="E97" s="2"/>
      <c r="F97" s="2"/>
    </row>
    <row r="98">
      <c r="A98" s="8"/>
      <c r="B98" s="2"/>
      <c r="C98" s="7"/>
      <c r="D98" s="2"/>
      <c r="E98" s="2"/>
      <c r="F98" s="2"/>
    </row>
    <row r="99">
      <c r="A99" s="8"/>
      <c r="B99" s="2"/>
      <c r="C99" s="7"/>
      <c r="D99" s="2"/>
      <c r="E99" s="2"/>
      <c r="F99" s="2"/>
    </row>
    <row r="100">
      <c r="A100" s="8"/>
      <c r="B100" s="2"/>
      <c r="C100" s="7"/>
      <c r="D100" s="2"/>
      <c r="E100" s="2"/>
      <c r="F100" s="2"/>
    </row>
    <row r="101">
      <c r="A101" s="8"/>
      <c r="B101" s="2"/>
      <c r="C101" s="7"/>
      <c r="D101" s="2"/>
      <c r="E101" s="2"/>
      <c r="F101" s="2"/>
    </row>
    <row r="102">
      <c r="A102" s="8"/>
      <c r="B102" s="2"/>
      <c r="C102" s="7"/>
      <c r="D102" s="2"/>
      <c r="E102" s="2"/>
      <c r="F102" s="2"/>
    </row>
    <row r="103">
      <c r="A103" s="8"/>
      <c r="B103" s="2"/>
      <c r="C103" s="7"/>
      <c r="D103" s="2"/>
      <c r="E103" s="2"/>
      <c r="F103" s="2"/>
    </row>
    <row r="104">
      <c r="A104" s="8"/>
      <c r="B104" s="2"/>
      <c r="C104" s="7"/>
      <c r="D104" s="2"/>
      <c r="E104" s="2"/>
      <c r="F104" s="2"/>
    </row>
    <row r="105">
      <c r="A105" s="8"/>
      <c r="B105" s="2"/>
      <c r="C105" s="7"/>
      <c r="D105" s="2"/>
      <c r="E105" s="2"/>
      <c r="F105" s="2"/>
    </row>
    <row r="106">
      <c r="A106" s="8"/>
      <c r="B106" s="2"/>
      <c r="C106" s="7"/>
      <c r="D106" s="2"/>
      <c r="E106" s="2"/>
      <c r="F106" s="2"/>
    </row>
    <row r="107">
      <c r="A107" s="8"/>
      <c r="B107" s="2"/>
      <c r="C107" s="7"/>
      <c r="D107" s="2"/>
      <c r="E107" s="2"/>
      <c r="F107" s="2"/>
    </row>
    <row r="108">
      <c r="A108" s="8"/>
      <c r="B108" s="2"/>
      <c r="C108" s="7"/>
      <c r="D108" s="2"/>
      <c r="E108" s="2"/>
      <c r="F108" s="2"/>
    </row>
    <row r="109">
      <c r="A109" s="8"/>
      <c r="B109" s="2"/>
      <c r="C109" s="7"/>
      <c r="D109" s="2"/>
      <c r="E109" s="2"/>
      <c r="F109" s="2"/>
    </row>
    <row r="110">
      <c r="A110" s="8"/>
      <c r="B110" s="2"/>
      <c r="C110" s="7"/>
      <c r="D110" s="2"/>
      <c r="E110" s="2"/>
      <c r="F110" s="2"/>
    </row>
    <row r="111">
      <c r="A111" s="8"/>
      <c r="B111" s="2"/>
      <c r="C111" s="7"/>
      <c r="D111" s="2"/>
      <c r="E111" s="2"/>
      <c r="F111" s="2"/>
    </row>
    <row r="112">
      <c r="A112" s="8"/>
      <c r="B112" s="2"/>
      <c r="C112" s="7"/>
      <c r="D112" s="2"/>
      <c r="E112" s="2"/>
      <c r="F112" s="2"/>
    </row>
    <row r="113">
      <c r="A113" s="8"/>
      <c r="B113" s="2"/>
      <c r="C113" s="7"/>
      <c r="D113" s="2"/>
      <c r="E113" s="2"/>
      <c r="F113" s="2"/>
    </row>
    <row r="114">
      <c r="A114" s="8"/>
      <c r="B114" s="2"/>
      <c r="C114" s="7"/>
      <c r="D114" s="2"/>
      <c r="E114" s="2"/>
      <c r="F114" s="2"/>
    </row>
    <row r="115">
      <c r="A115" s="8"/>
      <c r="B115" s="2"/>
      <c r="C115" s="7"/>
      <c r="D115" s="2"/>
      <c r="E115" s="2"/>
      <c r="F115" s="2"/>
    </row>
    <row r="116">
      <c r="A116" s="8"/>
      <c r="B116" s="2"/>
      <c r="C116" s="7"/>
      <c r="D116" s="2"/>
      <c r="E116" s="2"/>
      <c r="F116" s="2"/>
    </row>
    <row r="117">
      <c r="A117" s="8"/>
      <c r="B117" s="2"/>
      <c r="C117" s="7"/>
      <c r="D117" s="2"/>
      <c r="E117" s="2"/>
      <c r="F117" s="2"/>
    </row>
    <row r="118">
      <c r="A118" s="8"/>
      <c r="B118" s="2"/>
      <c r="C118" s="7"/>
      <c r="D118" s="2"/>
      <c r="E118" s="2"/>
      <c r="F118" s="2"/>
    </row>
    <row r="119">
      <c r="A119" s="8"/>
      <c r="B119" s="2"/>
      <c r="C119" s="7"/>
      <c r="D119" s="2"/>
      <c r="E119" s="2"/>
      <c r="F119" s="2"/>
    </row>
    <row r="120">
      <c r="A120" s="8"/>
      <c r="B120" s="2"/>
      <c r="C120" s="7"/>
      <c r="D120" s="2"/>
      <c r="E120" s="2"/>
      <c r="F120" s="2"/>
    </row>
    <row r="121">
      <c r="A121" s="8"/>
      <c r="B121" s="2"/>
      <c r="C121" s="7"/>
      <c r="D121" s="2"/>
      <c r="E121" s="2"/>
      <c r="F121" s="2"/>
    </row>
    <row r="122">
      <c r="A122" s="8"/>
      <c r="B122" s="2"/>
      <c r="C122" s="7"/>
      <c r="D122" s="2"/>
      <c r="E122" s="2"/>
      <c r="F122" s="2"/>
    </row>
    <row r="123">
      <c r="A123" s="8"/>
      <c r="B123" s="2"/>
      <c r="C123" s="7"/>
      <c r="D123" s="2"/>
      <c r="E123" s="2"/>
      <c r="F123" s="2"/>
    </row>
    <row r="124">
      <c r="A124" s="8"/>
      <c r="B124" s="2"/>
      <c r="C124" s="7"/>
      <c r="D124" s="2"/>
      <c r="E124" s="2"/>
      <c r="F124" s="2"/>
    </row>
    <row r="125">
      <c r="A125" s="8"/>
      <c r="B125" s="2"/>
      <c r="C125" s="7"/>
      <c r="D125" s="2"/>
      <c r="E125" s="2"/>
      <c r="F125" s="2"/>
    </row>
    <row r="126">
      <c r="A126" s="8"/>
      <c r="B126" s="2"/>
      <c r="C126" s="7"/>
      <c r="D126" s="2"/>
      <c r="E126" s="2"/>
      <c r="F126" s="2"/>
    </row>
    <row r="127">
      <c r="A127" s="8"/>
      <c r="B127" s="2"/>
      <c r="C127" s="7"/>
      <c r="D127" s="2"/>
      <c r="E127" s="2"/>
      <c r="F127" s="2"/>
    </row>
    <row r="128">
      <c r="A128" s="8"/>
      <c r="B128" s="2"/>
      <c r="C128" s="7"/>
      <c r="D128" s="2"/>
      <c r="E128" s="2"/>
      <c r="F128" s="2"/>
    </row>
    <row r="129">
      <c r="A129" s="8"/>
      <c r="B129" s="2"/>
      <c r="C129" s="7"/>
      <c r="D129" s="2"/>
      <c r="E129" s="2"/>
      <c r="F129" s="2"/>
    </row>
    <row r="130">
      <c r="A130" s="8"/>
      <c r="B130" s="2"/>
      <c r="C130" s="7"/>
      <c r="D130" s="2"/>
      <c r="E130" s="2"/>
      <c r="F130" s="2"/>
    </row>
    <row r="131">
      <c r="A131" s="8"/>
      <c r="B131" s="2"/>
      <c r="C131" s="7"/>
      <c r="D131" s="2"/>
      <c r="E131" s="2"/>
      <c r="F131" s="2"/>
    </row>
    <row r="132">
      <c r="A132" s="8"/>
      <c r="B132" s="2"/>
      <c r="C132" s="7"/>
      <c r="D132" s="2"/>
      <c r="E132" s="2"/>
      <c r="F132" s="2"/>
    </row>
    <row r="133">
      <c r="A133" s="8"/>
      <c r="B133" s="2"/>
      <c r="C133" s="7"/>
      <c r="D133" s="2"/>
      <c r="E133" s="2"/>
      <c r="F133" s="2"/>
    </row>
    <row r="134">
      <c r="A134" s="8"/>
      <c r="B134" s="2"/>
      <c r="C134" s="7"/>
      <c r="D134" s="2"/>
      <c r="E134" s="2"/>
      <c r="F134" s="2"/>
    </row>
    <row r="135">
      <c r="A135" s="8"/>
      <c r="B135" s="2"/>
      <c r="C135" s="7"/>
      <c r="D135" s="2"/>
      <c r="E135" s="2"/>
      <c r="F135" s="2"/>
    </row>
    <row r="136">
      <c r="A136" s="8"/>
      <c r="B136" s="2"/>
      <c r="C136" s="7"/>
      <c r="D136" s="2"/>
      <c r="E136" s="2"/>
      <c r="F136" s="2"/>
    </row>
    <row r="137">
      <c r="A137" s="8"/>
      <c r="B137" s="2"/>
      <c r="C137" s="7"/>
      <c r="D137" s="2"/>
      <c r="E137" s="2"/>
      <c r="F137" s="2"/>
    </row>
    <row r="138">
      <c r="A138" s="8"/>
      <c r="B138" s="2"/>
      <c r="C138" s="7"/>
      <c r="D138" s="2"/>
      <c r="E138" s="2"/>
      <c r="F138" s="2"/>
    </row>
    <row r="139">
      <c r="A139" s="8"/>
      <c r="B139" s="2"/>
      <c r="C139" s="7"/>
      <c r="D139" s="2"/>
      <c r="E139" s="2"/>
      <c r="F139" s="2"/>
    </row>
    <row r="140">
      <c r="A140" s="8"/>
      <c r="B140" s="2"/>
      <c r="C140" s="7"/>
      <c r="D140" s="2"/>
      <c r="E140" s="2"/>
      <c r="F140" s="2"/>
    </row>
    <row r="141">
      <c r="A141" s="8"/>
      <c r="B141" s="2"/>
      <c r="C141" s="7"/>
      <c r="D141" s="2"/>
      <c r="E141" s="2"/>
      <c r="F141" s="2"/>
    </row>
    <row r="142">
      <c r="A142" s="8"/>
      <c r="B142" s="2"/>
      <c r="C142" s="7"/>
      <c r="D142" s="2"/>
      <c r="E142" s="2"/>
      <c r="F142" s="2"/>
    </row>
    <row r="143">
      <c r="A143" s="8"/>
      <c r="B143" s="2"/>
      <c r="C143" s="7"/>
      <c r="D143" s="2"/>
      <c r="E143" s="2"/>
      <c r="F143" s="2"/>
    </row>
    <row r="144">
      <c r="A144" s="8"/>
      <c r="B144" s="2"/>
      <c r="C144" s="7"/>
      <c r="D144" s="2"/>
      <c r="E144" s="2"/>
      <c r="F144" s="2"/>
    </row>
    <row r="145">
      <c r="A145" s="8"/>
      <c r="B145" s="2"/>
      <c r="C145" s="7"/>
      <c r="D145" s="2"/>
      <c r="E145" s="2"/>
      <c r="F145" s="2"/>
    </row>
    <row r="146">
      <c r="A146" s="8"/>
      <c r="B146" s="2"/>
      <c r="C146" s="7"/>
      <c r="D146" s="2"/>
      <c r="E146" s="2"/>
      <c r="F146" s="2"/>
    </row>
    <row r="147">
      <c r="A147" s="8"/>
      <c r="B147" s="2"/>
      <c r="C147" s="7"/>
      <c r="D147" s="2"/>
      <c r="E147" s="2"/>
      <c r="F147" s="2"/>
    </row>
    <row r="148">
      <c r="A148" s="8"/>
      <c r="B148" s="2"/>
      <c r="C148" s="7"/>
      <c r="D148" s="2"/>
      <c r="E148" s="2"/>
      <c r="F148" s="2"/>
    </row>
    <row r="149">
      <c r="A149" s="8"/>
      <c r="B149" s="2"/>
      <c r="C149" s="7"/>
      <c r="D149" s="2"/>
      <c r="E149" s="2"/>
      <c r="F149" s="2"/>
    </row>
    <row r="150">
      <c r="A150" s="8"/>
      <c r="B150" s="2"/>
      <c r="C150" s="7"/>
      <c r="D150" s="2"/>
      <c r="E150" s="2"/>
      <c r="F150" s="2"/>
    </row>
    <row r="151">
      <c r="A151" s="8"/>
      <c r="B151" s="2"/>
      <c r="C151" s="7"/>
      <c r="D151" s="2"/>
      <c r="E151" s="2"/>
      <c r="F151" s="2"/>
    </row>
    <row r="152">
      <c r="A152" s="8"/>
      <c r="B152" s="2"/>
      <c r="C152" s="7"/>
      <c r="D152" s="2"/>
      <c r="E152" s="2"/>
      <c r="F152" s="2"/>
    </row>
    <row r="153">
      <c r="A153" s="8"/>
      <c r="B153" s="2"/>
      <c r="C153" s="7"/>
      <c r="D153" s="2"/>
      <c r="E153" s="2"/>
      <c r="F153" s="2"/>
    </row>
    <row r="154">
      <c r="A154" s="8"/>
      <c r="B154" s="2"/>
      <c r="C154" s="7"/>
      <c r="D154" s="2"/>
      <c r="E154" s="2"/>
      <c r="F154" s="2"/>
    </row>
    <row r="155">
      <c r="A155" s="8"/>
      <c r="B155" s="2"/>
      <c r="C155" s="7"/>
      <c r="D155" s="2"/>
      <c r="E155" s="2"/>
      <c r="F155" s="2"/>
    </row>
    <row r="156">
      <c r="A156" s="8"/>
      <c r="B156" s="2"/>
      <c r="C156" s="7"/>
      <c r="D156" s="2"/>
      <c r="E156" s="2"/>
      <c r="F156" s="2"/>
    </row>
    <row r="157">
      <c r="A157" s="8"/>
      <c r="B157" s="2"/>
      <c r="C157" s="7"/>
      <c r="D157" s="2"/>
      <c r="E157" s="2"/>
      <c r="F157" s="2"/>
    </row>
    <row r="158">
      <c r="A158" s="8"/>
      <c r="B158" s="2"/>
      <c r="C158" s="7"/>
      <c r="D158" s="2"/>
      <c r="E158" s="2"/>
      <c r="F158" s="2"/>
    </row>
    <row r="159">
      <c r="A159" s="8"/>
      <c r="B159" s="2"/>
      <c r="C159" s="7"/>
      <c r="D159" s="2"/>
      <c r="E159" s="2"/>
      <c r="F159" s="2"/>
    </row>
    <row r="160">
      <c r="A160" s="8"/>
      <c r="B160" s="2"/>
      <c r="C160" s="7"/>
      <c r="D160" s="2"/>
      <c r="E160" s="2"/>
      <c r="F160" s="2"/>
    </row>
    <row r="161">
      <c r="A161" s="8"/>
      <c r="B161" s="2"/>
      <c r="C161" s="7"/>
      <c r="D161" s="2"/>
      <c r="E161" s="2"/>
      <c r="F161" s="2"/>
    </row>
    <row r="162">
      <c r="A162" s="8"/>
      <c r="B162" s="2"/>
      <c r="C162" s="7"/>
      <c r="D162" s="2"/>
      <c r="E162" s="2"/>
      <c r="F162" s="2"/>
    </row>
    <row r="163">
      <c r="A163" s="8"/>
      <c r="B163" s="2"/>
      <c r="C163" s="7"/>
      <c r="D163" s="2"/>
      <c r="E163" s="2"/>
      <c r="F163" s="2"/>
    </row>
    <row r="164">
      <c r="A164" s="8"/>
      <c r="B164" s="2"/>
      <c r="C164" s="7"/>
      <c r="D164" s="2"/>
      <c r="E164" s="2"/>
      <c r="F164" s="2"/>
    </row>
    <row r="165">
      <c r="A165" s="8"/>
      <c r="B165" s="2"/>
      <c r="C165" s="7"/>
      <c r="D165" s="2"/>
      <c r="E165" s="2"/>
      <c r="F165" s="2"/>
    </row>
    <row r="166">
      <c r="A166" s="8"/>
      <c r="B166" s="2"/>
      <c r="C166" s="7"/>
      <c r="D166" s="2"/>
      <c r="E166" s="2"/>
      <c r="F166" s="2"/>
    </row>
    <row r="167">
      <c r="A167" s="8"/>
      <c r="B167" s="2"/>
      <c r="C167" s="7"/>
      <c r="D167" s="2"/>
      <c r="E167" s="2"/>
      <c r="F167" s="2"/>
    </row>
    <row r="168">
      <c r="A168" s="8"/>
      <c r="B168" s="2"/>
      <c r="C168" s="7"/>
      <c r="D168" s="2"/>
      <c r="E168" s="2"/>
      <c r="F168" s="2"/>
    </row>
    <row r="169">
      <c r="A169" s="8"/>
      <c r="B169" s="2"/>
      <c r="C169" s="7"/>
      <c r="D169" s="2"/>
      <c r="E169" s="2"/>
      <c r="F169" s="2"/>
    </row>
    <row r="170">
      <c r="A170" s="8"/>
      <c r="B170" s="2"/>
      <c r="C170" s="7"/>
      <c r="D170" s="2"/>
      <c r="E170" s="2"/>
      <c r="F170" s="2"/>
    </row>
    <row r="171">
      <c r="A171" s="8"/>
      <c r="B171" s="2"/>
      <c r="C171" s="7"/>
      <c r="D171" s="2"/>
      <c r="E171" s="2"/>
      <c r="F171" s="2"/>
    </row>
    <row r="172">
      <c r="A172" s="8"/>
      <c r="B172" s="2"/>
      <c r="C172" s="7"/>
      <c r="D172" s="2"/>
      <c r="E172" s="2"/>
      <c r="F172" s="2"/>
    </row>
    <row r="173">
      <c r="A173" s="8"/>
      <c r="B173" s="2"/>
      <c r="C173" s="7"/>
      <c r="D173" s="2"/>
      <c r="E173" s="2"/>
      <c r="F173" s="2"/>
    </row>
    <row r="174">
      <c r="A174" s="8"/>
      <c r="B174" s="2"/>
      <c r="C174" s="7"/>
      <c r="D174" s="2"/>
      <c r="E174" s="2"/>
      <c r="F174" s="2"/>
    </row>
    <row r="175">
      <c r="A175" s="8"/>
      <c r="B175" s="2"/>
      <c r="C175" s="7"/>
      <c r="D175" s="2"/>
      <c r="E175" s="2"/>
      <c r="F175" s="2"/>
    </row>
    <row r="176">
      <c r="A176" s="8"/>
      <c r="B176" s="2"/>
      <c r="C176" s="7"/>
      <c r="D176" s="2"/>
      <c r="E176" s="2"/>
      <c r="F176" s="2"/>
    </row>
    <row r="177">
      <c r="A177" s="8"/>
      <c r="B177" s="2"/>
      <c r="C177" s="7"/>
      <c r="D177" s="2"/>
      <c r="E177" s="2"/>
      <c r="F177" s="2"/>
    </row>
    <row r="178">
      <c r="C178" s="7"/>
    </row>
    <row r="179">
      <c r="C179" s="7"/>
    </row>
    <row r="180">
      <c r="C180" s="7"/>
    </row>
    <row r="181">
      <c r="C181" s="7"/>
    </row>
    <row r="182">
      <c r="C182" s="7"/>
    </row>
    <row r="183">
      <c r="C183" s="7"/>
    </row>
    <row r="184">
      <c r="C184" s="7"/>
    </row>
    <row r="185">
      <c r="C185" s="7"/>
    </row>
    <row r="186">
      <c r="C186" s="7"/>
    </row>
    <row r="187">
      <c r="C187" s="7"/>
    </row>
    <row r="188">
      <c r="C188" s="7"/>
    </row>
    <row r="189">
      <c r="C189" s="7"/>
    </row>
    <row r="190">
      <c r="C190" s="7"/>
    </row>
    <row r="191">
      <c r="C191" s="7"/>
    </row>
    <row r="192">
      <c r="C192" s="7"/>
    </row>
    <row r="193">
      <c r="C193" s="7"/>
    </row>
    <row r="194">
      <c r="C194" s="7"/>
    </row>
    <row r="195">
      <c r="C195" s="7"/>
    </row>
    <row r="196">
      <c r="C196" s="7"/>
    </row>
    <row r="197">
      <c r="C197" s="7"/>
    </row>
    <row r="198">
      <c r="C198" s="7"/>
    </row>
    <row r="199">
      <c r="C199" s="7"/>
    </row>
    <row r="200">
      <c r="C200" s="7"/>
    </row>
    <row r="201">
      <c r="C201" s="7"/>
    </row>
    <row r="202">
      <c r="C202" s="7"/>
    </row>
    <row r="203">
      <c r="C203" s="7"/>
    </row>
    <row r="204">
      <c r="C204" s="7"/>
    </row>
    <row r="205">
      <c r="C205" s="7"/>
    </row>
    <row r="206">
      <c r="C206" s="7"/>
    </row>
    <row r="207">
      <c r="C207" s="7"/>
    </row>
    <row r="208">
      <c r="C208" s="7"/>
    </row>
    <row r="209">
      <c r="C209" s="7"/>
    </row>
    <row r="210">
      <c r="C210" s="7"/>
    </row>
    <row r="211">
      <c r="C211" s="7"/>
    </row>
    <row r="212">
      <c r="C212" s="7"/>
    </row>
    <row r="213">
      <c r="C213" s="7"/>
    </row>
    <row r="214">
      <c r="C214" s="7"/>
    </row>
    <row r="215">
      <c r="C215" s="7"/>
    </row>
    <row r="216">
      <c r="C216" s="7"/>
    </row>
    <row r="217">
      <c r="C217" s="7"/>
    </row>
    <row r="218">
      <c r="C218" s="7"/>
    </row>
    <row r="219">
      <c r="C219" s="7"/>
    </row>
    <row r="220">
      <c r="C220" s="7"/>
    </row>
    <row r="221">
      <c r="C221" s="7"/>
    </row>
    <row r="222">
      <c r="C222" s="7"/>
    </row>
    <row r="223">
      <c r="C223" s="7"/>
    </row>
    <row r="224">
      <c r="C224" s="7"/>
    </row>
    <row r="225">
      <c r="C225" s="7"/>
    </row>
    <row r="226">
      <c r="C226" s="7"/>
    </row>
    <row r="227">
      <c r="C227" s="7"/>
    </row>
    <row r="228">
      <c r="C228" s="7"/>
    </row>
    <row r="229">
      <c r="C229" s="7"/>
    </row>
    <row r="230">
      <c r="C230" s="7"/>
    </row>
    <row r="231">
      <c r="C231" s="7"/>
    </row>
    <row r="232">
      <c r="C232" s="7"/>
    </row>
    <row r="233">
      <c r="C233" s="7"/>
    </row>
    <row r="234">
      <c r="C234" s="7"/>
    </row>
    <row r="235">
      <c r="C235" s="7"/>
    </row>
    <row r="236">
      <c r="C236" s="7"/>
    </row>
    <row r="237">
      <c r="C237" s="7"/>
    </row>
    <row r="238">
      <c r="C238" s="7"/>
    </row>
    <row r="239">
      <c r="C239" s="7"/>
    </row>
    <row r="240">
      <c r="C240" s="7"/>
    </row>
    <row r="241">
      <c r="C241" s="7"/>
    </row>
    <row r="242">
      <c r="C242" s="7"/>
    </row>
    <row r="243">
      <c r="C243" s="7"/>
    </row>
    <row r="244">
      <c r="C244" s="7"/>
    </row>
    <row r="245">
      <c r="C245" s="7"/>
    </row>
    <row r="246">
      <c r="C246" s="7"/>
    </row>
    <row r="247">
      <c r="C247" s="7"/>
    </row>
    <row r="248">
      <c r="C248" s="7"/>
    </row>
    <row r="249">
      <c r="C249" s="7"/>
    </row>
    <row r="250">
      <c r="C250" s="7"/>
    </row>
    <row r="251">
      <c r="C251" s="7"/>
    </row>
    <row r="252">
      <c r="C252" s="7"/>
    </row>
    <row r="253">
      <c r="C253" s="7"/>
    </row>
    <row r="254">
      <c r="C254" s="7"/>
    </row>
    <row r="255">
      <c r="C255" s="7"/>
    </row>
    <row r="256">
      <c r="C256" s="7"/>
    </row>
    <row r="257">
      <c r="C257" s="7"/>
    </row>
    <row r="258">
      <c r="C258" s="7"/>
    </row>
    <row r="259">
      <c r="C259" s="7"/>
    </row>
    <row r="260">
      <c r="C260" s="7"/>
    </row>
    <row r="261">
      <c r="C261" s="7"/>
    </row>
    <row r="262">
      <c r="C262" s="7"/>
    </row>
    <row r="263">
      <c r="C263" s="7"/>
    </row>
    <row r="264">
      <c r="C264" s="7"/>
    </row>
    <row r="265">
      <c r="C265" s="7"/>
    </row>
    <row r="266">
      <c r="C266" s="7"/>
    </row>
    <row r="267">
      <c r="C267" s="7"/>
    </row>
    <row r="268">
      <c r="C268" s="7"/>
    </row>
    <row r="269">
      <c r="C269" s="7"/>
    </row>
    <row r="270">
      <c r="C270" s="7"/>
    </row>
    <row r="271">
      <c r="C271" s="7"/>
    </row>
    <row r="272">
      <c r="C272" s="7"/>
    </row>
    <row r="273">
      <c r="C273" s="7"/>
    </row>
    <row r="274">
      <c r="C274" s="7"/>
    </row>
    <row r="275">
      <c r="C275" s="7"/>
    </row>
    <row r="276">
      <c r="C276" s="7"/>
    </row>
    <row r="277">
      <c r="C277" s="7"/>
    </row>
    <row r="278">
      <c r="C278" s="7"/>
    </row>
    <row r="279">
      <c r="C279" s="7"/>
    </row>
    <row r="280">
      <c r="C280" s="7"/>
    </row>
    <row r="281">
      <c r="C281" s="7"/>
    </row>
    <row r="282">
      <c r="C282" s="7"/>
    </row>
    <row r="283">
      <c r="C283" s="7"/>
    </row>
    <row r="284">
      <c r="C284" s="7"/>
    </row>
    <row r="285">
      <c r="C285" s="7"/>
    </row>
    <row r="286">
      <c r="C286" s="7"/>
    </row>
    <row r="287">
      <c r="C287" s="7"/>
    </row>
    <row r="288">
      <c r="C288" s="7"/>
    </row>
    <row r="289">
      <c r="C289" s="7"/>
    </row>
    <row r="290">
      <c r="C290" s="7"/>
    </row>
    <row r="291">
      <c r="C291" s="7"/>
    </row>
    <row r="292">
      <c r="C292" s="7"/>
    </row>
    <row r="293">
      <c r="C293" s="7"/>
    </row>
    <row r="294">
      <c r="C294" s="7"/>
    </row>
    <row r="295">
      <c r="C295" s="7"/>
    </row>
    <row r="296">
      <c r="C296" s="7"/>
    </row>
    <row r="297">
      <c r="C297" s="7"/>
    </row>
    <row r="298">
      <c r="C298" s="7"/>
    </row>
    <row r="299">
      <c r="C299" s="7"/>
    </row>
    <row r="300">
      <c r="C300" s="7"/>
    </row>
    <row r="301">
      <c r="C301" s="7"/>
    </row>
    <row r="302">
      <c r="C302" s="7"/>
    </row>
    <row r="303">
      <c r="C303" s="7"/>
    </row>
    <row r="304">
      <c r="C304" s="7"/>
    </row>
    <row r="305">
      <c r="C305" s="7"/>
    </row>
    <row r="306">
      <c r="C306" s="7"/>
    </row>
    <row r="307">
      <c r="C307" s="7"/>
    </row>
    <row r="308">
      <c r="C308" s="7"/>
    </row>
    <row r="309">
      <c r="C309" s="7"/>
    </row>
    <row r="310">
      <c r="C310" s="7"/>
    </row>
    <row r="311">
      <c r="C311" s="7"/>
    </row>
    <row r="312">
      <c r="C312" s="7"/>
    </row>
    <row r="313">
      <c r="C313" s="7"/>
    </row>
    <row r="314">
      <c r="C314" s="7"/>
    </row>
    <row r="315">
      <c r="C315" s="7"/>
    </row>
    <row r="316">
      <c r="C316" s="7"/>
    </row>
    <row r="317">
      <c r="C317" s="7"/>
    </row>
    <row r="318">
      <c r="C318" s="7"/>
    </row>
    <row r="319">
      <c r="C319" s="7"/>
    </row>
    <row r="320">
      <c r="C320" s="7"/>
    </row>
    <row r="321">
      <c r="C321" s="7"/>
    </row>
    <row r="322">
      <c r="C322" s="7"/>
    </row>
    <row r="323">
      <c r="C323" s="7"/>
    </row>
    <row r="324">
      <c r="C324" s="7"/>
    </row>
    <row r="325">
      <c r="C325" s="7"/>
    </row>
    <row r="326">
      <c r="C326" s="7"/>
    </row>
    <row r="327">
      <c r="C327" s="7"/>
    </row>
    <row r="328">
      <c r="C328" s="7"/>
    </row>
    <row r="329">
      <c r="C329" s="7"/>
    </row>
    <row r="330">
      <c r="C330" s="7"/>
    </row>
    <row r="331">
      <c r="C331" s="7"/>
    </row>
    <row r="332">
      <c r="C332" s="7"/>
    </row>
    <row r="333">
      <c r="C333" s="7"/>
    </row>
    <row r="334">
      <c r="C334" s="7"/>
    </row>
    <row r="335">
      <c r="C335" s="7"/>
    </row>
    <row r="336">
      <c r="C336" s="7"/>
    </row>
    <row r="337">
      <c r="C337" s="7"/>
    </row>
    <row r="338">
      <c r="C338" s="7"/>
    </row>
    <row r="339">
      <c r="C339" s="7"/>
    </row>
    <row r="340">
      <c r="C340" s="7"/>
    </row>
    <row r="341">
      <c r="C341" s="7"/>
    </row>
    <row r="342">
      <c r="C342" s="7"/>
    </row>
    <row r="343">
      <c r="C343" s="7"/>
    </row>
    <row r="344">
      <c r="C344" s="7"/>
    </row>
    <row r="345">
      <c r="C345" s="7"/>
    </row>
    <row r="346">
      <c r="C346" s="7"/>
    </row>
    <row r="347">
      <c r="C347" s="7"/>
    </row>
    <row r="348">
      <c r="C348" s="7"/>
    </row>
    <row r="349">
      <c r="C349" s="7"/>
    </row>
    <row r="350">
      <c r="C350" s="7"/>
    </row>
    <row r="351">
      <c r="C351" s="7"/>
    </row>
    <row r="352">
      <c r="C352" s="7"/>
    </row>
    <row r="353">
      <c r="C353" s="7"/>
    </row>
    <row r="354">
      <c r="C354" s="7"/>
    </row>
    <row r="355">
      <c r="C355" s="7"/>
    </row>
    <row r="356">
      <c r="C356" s="7"/>
    </row>
    <row r="357">
      <c r="C357" s="7"/>
    </row>
    <row r="358">
      <c r="C358" s="7"/>
    </row>
    <row r="359">
      <c r="C359" s="7"/>
    </row>
    <row r="360">
      <c r="C360" s="7"/>
    </row>
    <row r="361">
      <c r="C361" s="7"/>
    </row>
    <row r="362">
      <c r="C362" s="7"/>
    </row>
    <row r="363">
      <c r="C363" s="7"/>
    </row>
    <row r="364">
      <c r="C364" s="7"/>
    </row>
    <row r="365">
      <c r="C365" s="7"/>
    </row>
    <row r="366">
      <c r="C366" s="7"/>
    </row>
    <row r="367">
      <c r="C367" s="7"/>
    </row>
    <row r="368">
      <c r="C368" s="7"/>
    </row>
    <row r="369">
      <c r="C369" s="7"/>
    </row>
    <row r="370">
      <c r="C370" s="7"/>
    </row>
    <row r="371">
      <c r="C371" s="7"/>
    </row>
    <row r="372">
      <c r="C372" s="7"/>
    </row>
    <row r="373">
      <c r="C373" s="7"/>
    </row>
    <row r="374">
      <c r="C374" s="7"/>
    </row>
    <row r="375">
      <c r="C375" s="7"/>
    </row>
    <row r="376">
      <c r="C376" s="7"/>
    </row>
    <row r="377">
      <c r="C377" s="7"/>
    </row>
    <row r="378">
      <c r="C378" s="7"/>
    </row>
    <row r="379">
      <c r="C379" s="7"/>
    </row>
    <row r="380">
      <c r="C380" s="7"/>
    </row>
    <row r="381">
      <c r="C381" s="7"/>
    </row>
    <row r="382">
      <c r="C382" s="7"/>
    </row>
    <row r="383">
      <c r="C383" s="7"/>
    </row>
    <row r="384">
      <c r="C384" s="7"/>
    </row>
    <row r="385">
      <c r="C385" s="7"/>
    </row>
    <row r="386">
      <c r="C386" s="7"/>
    </row>
    <row r="387">
      <c r="C387" s="7"/>
    </row>
    <row r="388">
      <c r="C388" s="7"/>
    </row>
    <row r="389">
      <c r="C389" s="7"/>
    </row>
    <row r="390">
      <c r="C390" s="7"/>
    </row>
    <row r="391">
      <c r="C391" s="7"/>
    </row>
    <row r="392">
      <c r="C392" s="7"/>
    </row>
    <row r="393">
      <c r="C393" s="7"/>
    </row>
    <row r="394">
      <c r="C394" s="7"/>
    </row>
    <row r="395">
      <c r="C395" s="7"/>
    </row>
    <row r="396">
      <c r="C396" s="7"/>
    </row>
    <row r="397">
      <c r="C397" s="7"/>
    </row>
    <row r="398">
      <c r="C398" s="7"/>
    </row>
    <row r="399">
      <c r="C399" s="7"/>
    </row>
    <row r="400">
      <c r="C400" s="7"/>
    </row>
    <row r="401">
      <c r="C401" s="7"/>
    </row>
    <row r="402">
      <c r="C402" s="7"/>
    </row>
    <row r="403">
      <c r="C403" s="7"/>
    </row>
    <row r="404">
      <c r="C404" s="7"/>
    </row>
    <row r="405">
      <c r="C405" s="7"/>
    </row>
    <row r="406">
      <c r="C406" s="7"/>
    </row>
    <row r="407">
      <c r="C407" s="7"/>
    </row>
    <row r="408">
      <c r="C408" s="7"/>
    </row>
    <row r="409">
      <c r="C409" s="7"/>
    </row>
    <row r="410">
      <c r="C410" s="7"/>
    </row>
    <row r="411">
      <c r="C411" s="7"/>
    </row>
    <row r="412">
      <c r="C412" s="7"/>
    </row>
    <row r="413">
      <c r="C413" s="7"/>
    </row>
    <row r="414">
      <c r="C414" s="7"/>
    </row>
    <row r="415">
      <c r="C415" s="7"/>
    </row>
    <row r="416">
      <c r="C416" s="7"/>
    </row>
    <row r="417">
      <c r="C417" s="7"/>
    </row>
    <row r="418">
      <c r="C418" s="7"/>
    </row>
    <row r="419">
      <c r="C419" s="7"/>
    </row>
    <row r="420">
      <c r="C420" s="7"/>
    </row>
    <row r="421">
      <c r="C421" s="7"/>
    </row>
    <row r="422">
      <c r="C422" s="7"/>
    </row>
    <row r="423">
      <c r="C423" s="7"/>
    </row>
    <row r="424">
      <c r="C424" s="7"/>
    </row>
    <row r="425">
      <c r="C425" s="7"/>
    </row>
    <row r="426">
      <c r="C426" s="7"/>
    </row>
    <row r="427">
      <c r="C427" s="7"/>
    </row>
    <row r="428">
      <c r="C428" s="7"/>
    </row>
    <row r="429">
      <c r="C429" s="7"/>
    </row>
    <row r="430">
      <c r="C430" s="7"/>
    </row>
    <row r="431">
      <c r="C431" s="7"/>
    </row>
    <row r="432">
      <c r="C432" s="7"/>
    </row>
    <row r="433">
      <c r="C433" s="7"/>
    </row>
    <row r="434">
      <c r="C434" s="7"/>
    </row>
    <row r="435">
      <c r="C435" s="7"/>
    </row>
    <row r="436">
      <c r="C436" s="7"/>
    </row>
    <row r="437">
      <c r="C437" s="7"/>
    </row>
    <row r="438">
      <c r="C438" s="7"/>
    </row>
    <row r="439">
      <c r="C439" s="7"/>
    </row>
    <row r="440">
      <c r="C440" s="7"/>
    </row>
    <row r="441">
      <c r="C441" s="7"/>
    </row>
    <row r="442">
      <c r="C442" s="7"/>
    </row>
    <row r="443">
      <c r="C443" s="7"/>
    </row>
    <row r="444">
      <c r="C444" s="7"/>
    </row>
    <row r="445">
      <c r="C445" s="7"/>
    </row>
    <row r="446">
      <c r="C446" s="7"/>
    </row>
    <row r="447">
      <c r="C447" s="7"/>
    </row>
    <row r="448">
      <c r="C448" s="7"/>
    </row>
    <row r="449">
      <c r="C449" s="7"/>
    </row>
    <row r="450">
      <c r="C450" s="7"/>
    </row>
    <row r="451">
      <c r="C451" s="7"/>
    </row>
    <row r="452">
      <c r="C452" s="7"/>
    </row>
    <row r="453">
      <c r="C453" s="7"/>
    </row>
    <row r="454">
      <c r="C454" s="7"/>
    </row>
    <row r="455">
      <c r="C455" s="7"/>
    </row>
    <row r="456">
      <c r="C456" s="7"/>
    </row>
    <row r="457">
      <c r="C457" s="7"/>
    </row>
    <row r="458">
      <c r="C458" s="7"/>
    </row>
    <row r="459">
      <c r="C459" s="7"/>
    </row>
    <row r="460">
      <c r="C460" s="7"/>
    </row>
    <row r="461">
      <c r="C461" s="7"/>
    </row>
    <row r="462">
      <c r="C462" s="7"/>
    </row>
    <row r="463">
      <c r="C463" s="7"/>
    </row>
    <row r="464">
      <c r="C464" s="7"/>
    </row>
    <row r="465">
      <c r="C465" s="7"/>
    </row>
    <row r="466">
      <c r="C466" s="7"/>
    </row>
    <row r="467">
      <c r="C467" s="7"/>
    </row>
    <row r="468">
      <c r="C468" s="7"/>
    </row>
    <row r="469">
      <c r="C469" s="7"/>
    </row>
    <row r="470">
      <c r="C470" s="7"/>
    </row>
    <row r="471">
      <c r="C471" s="7"/>
    </row>
    <row r="472">
      <c r="C472" s="7"/>
    </row>
    <row r="473">
      <c r="C473" s="7"/>
    </row>
    <row r="474">
      <c r="C474" s="7"/>
    </row>
    <row r="475">
      <c r="C475" s="7"/>
    </row>
    <row r="476">
      <c r="C476" s="7"/>
    </row>
    <row r="477">
      <c r="C477" s="7"/>
    </row>
    <row r="478">
      <c r="C478" s="7"/>
    </row>
    <row r="479">
      <c r="C479" s="7"/>
    </row>
    <row r="480">
      <c r="C480" s="7"/>
    </row>
    <row r="481">
      <c r="C481" s="7"/>
    </row>
    <row r="482">
      <c r="C482" s="7"/>
    </row>
    <row r="483">
      <c r="C483" s="7"/>
    </row>
    <row r="484">
      <c r="C484" s="7"/>
    </row>
    <row r="485">
      <c r="C485" s="7"/>
    </row>
    <row r="486">
      <c r="C486" s="7"/>
    </row>
    <row r="487">
      <c r="C487" s="7"/>
    </row>
    <row r="488">
      <c r="C488" s="7"/>
    </row>
    <row r="489">
      <c r="C489" s="7"/>
    </row>
    <row r="490">
      <c r="C490" s="7"/>
    </row>
    <row r="491">
      <c r="C491" s="7"/>
    </row>
    <row r="492">
      <c r="C492" s="7"/>
    </row>
    <row r="493">
      <c r="C493" s="7"/>
    </row>
    <row r="494">
      <c r="C494" s="7"/>
    </row>
    <row r="495">
      <c r="C495" s="7"/>
    </row>
    <row r="496">
      <c r="C496" s="7"/>
    </row>
    <row r="497">
      <c r="C497" s="7"/>
    </row>
    <row r="498">
      <c r="C498" s="7"/>
    </row>
    <row r="499">
      <c r="C499" s="7"/>
    </row>
    <row r="500">
      <c r="C500" s="7"/>
    </row>
    <row r="501">
      <c r="C501" s="7"/>
    </row>
    <row r="502">
      <c r="C502" s="7"/>
    </row>
    <row r="503">
      <c r="C503" s="7"/>
    </row>
    <row r="504">
      <c r="C504" s="7"/>
    </row>
    <row r="505">
      <c r="C505" s="7"/>
    </row>
    <row r="506">
      <c r="C506" s="7"/>
    </row>
    <row r="507">
      <c r="C507" s="7"/>
    </row>
    <row r="508">
      <c r="C508" s="7"/>
    </row>
    <row r="509">
      <c r="C509" s="7"/>
    </row>
    <row r="510">
      <c r="C510" s="7"/>
    </row>
    <row r="511">
      <c r="C511" s="7"/>
    </row>
    <row r="512">
      <c r="C512" s="7"/>
    </row>
    <row r="513">
      <c r="C513" s="7"/>
    </row>
    <row r="514">
      <c r="C514" s="7"/>
    </row>
    <row r="515">
      <c r="C515" s="7"/>
    </row>
    <row r="516">
      <c r="C516" s="7"/>
    </row>
    <row r="517">
      <c r="C517" s="7"/>
    </row>
    <row r="518">
      <c r="C518" s="7"/>
    </row>
    <row r="519">
      <c r="C519" s="7"/>
    </row>
    <row r="520">
      <c r="C520" s="7"/>
    </row>
    <row r="521">
      <c r="C521" s="7"/>
    </row>
    <row r="522">
      <c r="C522" s="7"/>
    </row>
    <row r="523">
      <c r="C523" s="7"/>
    </row>
    <row r="524">
      <c r="C524" s="7"/>
    </row>
    <row r="525">
      <c r="C525" s="7"/>
    </row>
    <row r="526">
      <c r="C526" s="7"/>
    </row>
    <row r="527">
      <c r="C527" s="7"/>
    </row>
    <row r="528">
      <c r="C528" s="7"/>
    </row>
    <row r="529">
      <c r="C529" s="7"/>
    </row>
    <row r="530">
      <c r="C530" s="7"/>
    </row>
    <row r="531">
      <c r="C531" s="7"/>
    </row>
    <row r="532">
      <c r="C532" s="7"/>
    </row>
    <row r="533">
      <c r="C533" s="7"/>
    </row>
    <row r="534">
      <c r="C534" s="7"/>
    </row>
    <row r="535">
      <c r="C535" s="7"/>
    </row>
    <row r="536">
      <c r="C536" s="7"/>
    </row>
    <row r="537">
      <c r="C537" s="7"/>
    </row>
    <row r="538">
      <c r="C538" s="7"/>
    </row>
    <row r="539">
      <c r="C539" s="7"/>
    </row>
    <row r="540">
      <c r="C540" s="7"/>
    </row>
    <row r="541">
      <c r="C541" s="7"/>
    </row>
    <row r="542">
      <c r="C542" s="7"/>
    </row>
    <row r="543">
      <c r="C543" s="7"/>
    </row>
    <row r="544">
      <c r="C544" s="7"/>
    </row>
    <row r="545">
      <c r="C545" s="7"/>
    </row>
    <row r="546">
      <c r="C546" s="7"/>
    </row>
    <row r="547">
      <c r="C547" s="7"/>
    </row>
    <row r="548">
      <c r="C548" s="7"/>
    </row>
    <row r="549">
      <c r="C549" s="7"/>
    </row>
    <row r="550">
      <c r="C550" s="7"/>
    </row>
    <row r="551">
      <c r="C551" s="7"/>
    </row>
    <row r="552">
      <c r="C552" s="7"/>
    </row>
    <row r="553">
      <c r="C553" s="7"/>
    </row>
    <row r="554">
      <c r="C554" s="7"/>
    </row>
    <row r="555">
      <c r="C555" s="7"/>
    </row>
    <row r="556">
      <c r="C556" s="7"/>
    </row>
    <row r="557">
      <c r="C557" s="7"/>
    </row>
    <row r="558">
      <c r="C558" s="7"/>
    </row>
    <row r="559">
      <c r="C559" s="7"/>
    </row>
    <row r="560">
      <c r="C560" s="7"/>
    </row>
    <row r="561">
      <c r="C561" s="7"/>
    </row>
    <row r="562">
      <c r="C562" s="7"/>
    </row>
    <row r="563">
      <c r="C563" s="7"/>
    </row>
    <row r="564">
      <c r="C564" s="7"/>
    </row>
    <row r="565">
      <c r="C565" s="7"/>
    </row>
    <row r="566">
      <c r="C566" s="7"/>
    </row>
    <row r="567">
      <c r="C567" s="7"/>
    </row>
    <row r="568">
      <c r="C568" s="7"/>
    </row>
    <row r="569">
      <c r="C569" s="7"/>
    </row>
    <row r="570">
      <c r="C570" s="7"/>
    </row>
    <row r="571">
      <c r="C571" s="7"/>
    </row>
    <row r="572">
      <c r="C572" s="7"/>
    </row>
    <row r="573">
      <c r="C573" s="7"/>
    </row>
    <row r="574">
      <c r="C574" s="7"/>
    </row>
    <row r="575">
      <c r="C575" s="7"/>
    </row>
    <row r="576">
      <c r="C576" s="7"/>
    </row>
    <row r="577">
      <c r="C577" s="7"/>
    </row>
    <row r="578">
      <c r="C578" s="7"/>
    </row>
    <row r="579">
      <c r="C579" s="7"/>
    </row>
    <row r="580">
      <c r="C580" s="7"/>
    </row>
    <row r="581">
      <c r="C581" s="7"/>
    </row>
    <row r="582">
      <c r="C582" s="7"/>
    </row>
    <row r="583">
      <c r="C583" s="7"/>
    </row>
    <row r="584">
      <c r="C584" s="7"/>
    </row>
    <row r="585">
      <c r="C585" s="7"/>
    </row>
    <row r="586">
      <c r="C586" s="7"/>
    </row>
    <row r="587">
      <c r="C587" s="7"/>
    </row>
    <row r="588">
      <c r="C588" s="7"/>
    </row>
    <row r="589">
      <c r="C589" s="7"/>
    </row>
    <row r="590">
      <c r="C590" s="7"/>
    </row>
    <row r="591">
      <c r="C591" s="7"/>
    </row>
    <row r="592">
      <c r="C592" s="7"/>
    </row>
    <row r="593">
      <c r="C593" s="7"/>
    </row>
    <row r="594">
      <c r="C594" s="7"/>
    </row>
    <row r="595">
      <c r="C595" s="7"/>
    </row>
    <row r="596">
      <c r="C596" s="7"/>
    </row>
    <row r="597">
      <c r="C597" s="7"/>
    </row>
    <row r="598">
      <c r="C598" s="7"/>
    </row>
    <row r="599">
      <c r="C599" s="7"/>
    </row>
    <row r="600">
      <c r="C600" s="7"/>
    </row>
    <row r="601">
      <c r="C601" s="7"/>
    </row>
    <row r="602">
      <c r="C602" s="7"/>
    </row>
    <row r="603">
      <c r="C603" s="7"/>
    </row>
    <row r="604">
      <c r="C604" s="7"/>
    </row>
    <row r="605">
      <c r="C605" s="7"/>
    </row>
    <row r="606">
      <c r="C606" s="7"/>
    </row>
    <row r="607">
      <c r="C607" s="7"/>
    </row>
    <row r="608">
      <c r="C608" s="7"/>
    </row>
    <row r="609">
      <c r="C609" s="7"/>
    </row>
    <row r="610">
      <c r="C610" s="7"/>
    </row>
    <row r="611">
      <c r="C611" s="7"/>
    </row>
    <row r="612">
      <c r="C612" s="7"/>
    </row>
    <row r="613">
      <c r="C613" s="7"/>
    </row>
    <row r="614">
      <c r="C614" s="7"/>
    </row>
    <row r="615">
      <c r="C615" s="7"/>
    </row>
    <row r="616">
      <c r="C616" s="7"/>
    </row>
    <row r="617">
      <c r="C617" s="7"/>
    </row>
    <row r="618">
      <c r="C618" s="7"/>
    </row>
    <row r="619">
      <c r="C619" s="7"/>
    </row>
    <row r="620">
      <c r="C620" s="7"/>
    </row>
    <row r="621">
      <c r="C621" s="7"/>
    </row>
    <row r="622">
      <c r="C622" s="7"/>
    </row>
    <row r="623">
      <c r="C623" s="7"/>
    </row>
    <row r="624">
      <c r="C624" s="7"/>
    </row>
    <row r="625">
      <c r="C625" s="7"/>
    </row>
    <row r="626">
      <c r="C626" s="7"/>
    </row>
    <row r="627">
      <c r="C627" s="7"/>
    </row>
    <row r="628">
      <c r="C628" s="7"/>
    </row>
    <row r="629">
      <c r="C629" s="7"/>
    </row>
    <row r="630">
      <c r="C630" s="7"/>
    </row>
    <row r="631">
      <c r="C631" s="7"/>
    </row>
    <row r="632">
      <c r="C632" s="7"/>
    </row>
    <row r="633">
      <c r="C633" s="7"/>
    </row>
    <row r="634">
      <c r="C634" s="7"/>
    </row>
    <row r="635">
      <c r="C635" s="7"/>
    </row>
    <row r="636">
      <c r="C636" s="7"/>
    </row>
    <row r="637">
      <c r="C637" s="7"/>
    </row>
    <row r="638">
      <c r="C638" s="7"/>
    </row>
    <row r="639">
      <c r="C639" s="7"/>
    </row>
    <row r="640">
      <c r="C640" s="7"/>
    </row>
    <row r="641">
      <c r="C641" s="7"/>
    </row>
    <row r="642">
      <c r="C642" s="7"/>
    </row>
    <row r="643">
      <c r="C643" s="7"/>
    </row>
    <row r="644">
      <c r="C644" s="7"/>
    </row>
    <row r="645">
      <c r="C645" s="7"/>
    </row>
    <row r="646">
      <c r="C646" s="7"/>
    </row>
    <row r="647">
      <c r="C647" s="7"/>
    </row>
    <row r="648">
      <c r="C648" s="7"/>
    </row>
    <row r="649">
      <c r="C649" s="7"/>
    </row>
    <row r="650">
      <c r="C650" s="7"/>
    </row>
    <row r="651">
      <c r="C651" s="7"/>
    </row>
    <row r="652">
      <c r="C652" s="7"/>
    </row>
    <row r="653">
      <c r="C653" s="7"/>
    </row>
    <row r="654">
      <c r="C654" s="7"/>
    </row>
    <row r="655">
      <c r="C655" s="7"/>
    </row>
    <row r="656">
      <c r="C656" s="7"/>
    </row>
    <row r="657">
      <c r="C657" s="7"/>
    </row>
    <row r="658">
      <c r="C658" s="7"/>
    </row>
    <row r="659">
      <c r="C659" s="7"/>
    </row>
    <row r="660">
      <c r="C660" s="7"/>
    </row>
    <row r="661">
      <c r="C661" s="7"/>
    </row>
    <row r="662">
      <c r="C662" s="7"/>
    </row>
    <row r="663">
      <c r="C663" s="7"/>
    </row>
    <row r="664">
      <c r="C664" s="7"/>
    </row>
    <row r="665">
      <c r="C665" s="7"/>
    </row>
    <row r="666">
      <c r="C666" s="7"/>
    </row>
    <row r="667">
      <c r="C667" s="7"/>
    </row>
    <row r="668">
      <c r="C668" s="7"/>
    </row>
    <row r="669">
      <c r="C669" s="7"/>
    </row>
    <row r="670">
      <c r="C670" s="7"/>
    </row>
    <row r="671">
      <c r="C671" s="7"/>
    </row>
    <row r="672">
      <c r="C672" s="7"/>
    </row>
    <row r="673">
      <c r="C673" s="7"/>
    </row>
    <row r="674">
      <c r="C674" s="7"/>
    </row>
    <row r="675">
      <c r="C675" s="7"/>
    </row>
    <row r="676">
      <c r="C676" s="7"/>
    </row>
    <row r="677">
      <c r="C677" s="7"/>
    </row>
    <row r="678">
      <c r="C678" s="7"/>
    </row>
    <row r="679">
      <c r="C679" s="7"/>
    </row>
    <row r="680">
      <c r="C680" s="7"/>
    </row>
    <row r="681">
      <c r="C681" s="7"/>
    </row>
    <row r="682">
      <c r="C682" s="7"/>
    </row>
    <row r="683">
      <c r="C683" s="7"/>
    </row>
    <row r="684">
      <c r="C684" s="7"/>
    </row>
    <row r="685">
      <c r="C685" s="7"/>
    </row>
    <row r="686">
      <c r="C686" s="7"/>
    </row>
    <row r="687">
      <c r="C687" s="7"/>
    </row>
    <row r="688">
      <c r="C688" s="7"/>
    </row>
    <row r="689">
      <c r="C689" s="7"/>
    </row>
    <row r="690">
      <c r="C690" s="7"/>
    </row>
    <row r="691">
      <c r="C691" s="7"/>
    </row>
    <row r="692">
      <c r="C692" s="7"/>
    </row>
    <row r="693">
      <c r="C693" s="7"/>
    </row>
    <row r="694">
      <c r="C694" s="7"/>
    </row>
    <row r="695">
      <c r="C695" s="7"/>
    </row>
    <row r="696">
      <c r="C696" s="7"/>
    </row>
    <row r="697">
      <c r="C697" s="7"/>
    </row>
    <row r="698">
      <c r="C698" s="7"/>
    </row>
    <row r="699">
      <c r="C699" s="7"/>
    </row>
    <row r="700">
      <c r="C700" s="7"/>
    </row>
    <row r="701">
      <c r="C701" s="7"/>
    </row>
    <row r="702">
      <c r="C702" s="7"/>
    </row>
    <row r="703">
      <c r="C703" s="7"/>
    </row>
    <row r="704">
      <c r="C704" s="7"/>
    </row>
    <row r="705">
      <c r="C705" s="7"/>
    </row>
    <row r="706">
      <c r="C706" s="7"/>
    </row>
    <row r="707">
      <c r="C707" s="7"/>
    </row>
    <row r="708">
      <c r="C708" s="7"/>
    </row>
    <row r="709">
      <c r="C709" s="7"/>
    </row>
    <row r="710">
      <c r="C710" s="7"/>
    </row>
    <row r="711">
      <c r="C711" s="7"/>
    </row>
    <row r="712">
      <c r="C712" s="7"/>
    </row>
    <row r="713">
      <c r="C713" s="7"/>
    </row>
    <row r="714">
      <c r="C714" s="7"/>
    </row>
    <row r="715">
      <c r="C715" s="7"/>
    </row>
    <row r="716">
      <c r="C716" s="7"/>
    </row>
    <row r="717">
      <c r="C717" s="7"/>
    </row>
    <row r="718">
      <c r="C718" s="7"/>
    </row>
    <row r="719">
      <c r="C719" s="7"/>
    </row>
    <row r="720">
      <c r="C720" s="7"/>
    </row>
    <row r="721">
      <c r="C721" s="7"/>
    </row>
    <row r="722">
      <c r="C722" s="7"/>
    </row>
    <row r="723">
      <c r="C723" s="7"/>
    </row>
    <row r="724">
      <c r="C724" s="7"/>
    </row>
    <row r="725">
      <c r="C725" s="7"/>
    </row>
    <row r="726">
      <c r="C726" s="7"/>
    </row>
    <row r="727">
      <c r="C727" s="7"/>
    </row>
    <row r="728">
      <c r="C728" s="7"/>
    </row>
    <row r="729">
      <c r="C729" s="7"/>
    </row>
    <row r="730">
      <c r="C730" s="7"/>
    </row>
    <row r="731">
      <c r="C731" s="7"/>
    </row>
    <row r="732">
      <c r="C732" s="7"/>
    </row>
    <row r="733">
      <c r="C733" s="7"/>
    </row>
    <row r="734">
      <c r="C734" s="7"/>
    </row>
    <row r="735">
      <c r="C735" s="7"/>
    </row>
    <row r="736">
      <c r="C736" s="7"/>
    </row>
    <row r="737">
      <c r="C737" s="7"/>
    </row>
    <row r="738">
      <c r="C738" s="7"/>
    </row>
    <row r="739">
      <c r="C739" s="7"/>
    </row>
    <row r="740">
      <c r="C740" s="7"/>
    </row>
    <row r="741">
      <c r="C741" s="7"/>
    </row>
    <row r="742">
      <c r="C742" s="7"/>
    </row>
    <row r="743">
      <c r="C743" s="7"/>
    </row>
    <row r="744">
      <c r="C744" s="7"/>
    </row>
    <row r="745">
      <c r="C745" s="7"/>
    </row>
    <row r="746">
      <c r="C746" s="7"/>
    </row>
    <row r="747">
      <c r="C747" s="7"/>
    </row>
    <row r="748">
      <c r="C748" s="7"/>
    </row>
    <row r="749">
      <c r="C749" s="7"/>
    </row>
    <row r="750">
      <c r="C750" s="7"/>
    </row>
    <row r="751">
      <c r="C751" s="7"/>
    </row>
    <row r="752">
      <c r="C752" s="7"/>
    </row>
    <row r="753">
      <c r="C753" s="7"/>
    </row>
    <row r="754">
      <c r="C754" s="7"/>
    </row>
    <row r="755">
      <c r="C755" s="7"/>
    </row>
    <row r="756">
      <c r="C756" s="7"/>
    </row>
    <row r="757">
      <c r="C757" s="7"/>
    </row>
    <row r="758">
      <c r="C758" s="7"/>
    </row>
    <row r="759">
      <c r="C759" s="7"/>
    </row>
    <row r="760">
      <c r="C760" s="7"/>
    </row>
    <row r="761">
      <c r="C761" s="7"/>
    </row>
    <row r="762">
      <c r="C762" s="7"/>
    </row>
    <row r="763">
      <c r="C763" s="7"/>
    </row>
    <row r="764">
      <c r="C764" s="7"/>
    </row>
    <row r="765">
      <c r="C765" s="7"/>
    </row>
    <row r="766">
      <c r="C766" s="7"/>
    </row>
    <row r="767">
      <c r="C767" s="7"/>
    </row>
    <row r="768">
      <c r="C768" s="7"/>
    </row>
    <row r="769">
      <c r="C769" s="7"/>
    </row>
    <row r="770">
      <c r="C770" s="7"/>
    </row>
    <row r="771">
      <c r="C771" s="7"/>
    </row>
    <row r="772">
      <c r="C772" s="7"/>
    </row>
    <row r="773">
      <c r="C773" s="7"/>
    </row>
    <row r="774">
      <c r="C774" s="7"/>
    </row>
    <row r="775">
      <c r="C775" s="7"/>
    </row>
    <row r="776">
      <c r="C776" s="7"/>
    </row>
    <row r="777">
      <c r="C777" s="7"/>
    </row>
    <row r="778">
      <c r="C778" s="7"/>
    </row>
    <row r="779">
      <c r="C779" s="7"/>
    </row>
    <row r="780">
      <c r="C780" s="7"/>
    </row>
    <row r="781">
      <c r="C781" s="7"/>
    </row>
    <row r="782">
      <c r="C782" s="7"/>
    </row>
    <row r="783">
      <c r="C783" s="7"/>
    </row>
    <row r="784">
      <c r="C784" s="7"/>
    </row>
    <row r="785">
      <c r="C785" s="7"/>
    </row>
    <row r="786">
      <c r="C786" s="7"/>
    </row>
    <row r="787">
      <c r="C787" s="7"/>
    </row>
    <row r="788">
      <c r="C788" s="7"/>
    </row>
    <row r="789">
      <c r="C789" s="7"/>
    </row>
    <row r="790">
      <c r="C790" s="7"/>
    </row>
    <row r="791">
      <c r="C791" s="7"/>
    </row>
    <row r="792">
      <c r="C792" s="7"/>
    </row>
    <row r="793">
      <c r="C793" s="7"/>
    </row>
    <row r="794">
      <c r="C794" s="7"/>
    </row>
    <row r="795">
      <c r="C795" s="7"/>
    </row>
    <row r="796">
      <c r="C796" s="7"/>
    </row>
    <row r="797">
      <c r="C797" s="7"/>
    </row>
    <row r="798">
      <c r="C798" s="7"/>
    </row>
    <row r="799">
      <c r="C799" s="7"/>
    </row>
    <row r="800">
      <c r="C800" s="7"/>
    </row>
    <row r="801">
      <c r="C801" s="7"/>
    </row>
    <row r="802">
      <c r="C802" s="7"/>
    </row>
    <row r="803">
      <c r="C803" s="7"/>
    </row>
    <row r="804">
      <c r="C804" s="7"/>
    </row>
    <row r="805">
      <c r="C805" s="7"/>
    </row>
    <row r="806">
      <c r="C806" s="7"/>
    </row>
    <row r="807">
      <c r="C807" s="7"/>
    </row>
    <row r="808">
      <c r="C808" s="7"/>
    </row>
    <row r="809">
      <c r="C809" s="7"/>
    </row>
    <row r="810">
      <c r="C810" s="7"/>
    </row>
    <row r="811">
      <c r="C811" s="7"/>
    </row>
    <row r="812">
      <c r="C812" s="7"/>
    </row>
    <row r="813">
      <c r="C813" s="7"/>
    </row>
    <row r="814">
      <c r="C814" s="7"/>
    </row>
    <row r="815">
      <c r="C815" s="7"/>
    </row>
    <row r="816">
      <c r="C816" s="7"/>
    </row>
    <row r="817">
      <c r="C817" s="7"/>
    </row>
    <row r="818">
      <c r="C818" s="7"/>
    </row>
    <row r="819">
      <c r="C819" s="7"/>
    </row>
    <row r="820">
      <c r="C820" s="7"/>
    </row>
    <row r="821">
      <c r="C821" s="7"/>
    </row>
    <row r="822">
      <c r="C822" s="7"/>
    </row>
    <row r="823">
      <c r="C823" s="7"/>
    </row>
    <row r="824">
      <c r="C824" s="7"/>
    </row>
    <row r="825">
      <c r="C825" s="7"/>
    </row>
    <row r="826">
      <c r="C826" s="7"/>
    </row>
    <row r="827">
      <c r="C827" s="7"/>
    </row>
    <row r="828">
      <c r="C828" s="7"/>
    </row>
    <row r="829">
      <c r="C829" s="7"/>
    </row>
    <row r="830">
      <c r="C830" s="7"/>
    </row>
    <row r="831">
      <c r="C831" s="7"/>
    </row>
    <row r="832">
      <c r="C832" s="7"/>
    </row>
    <row r="833">
      <c r="C833" s="7"/>
    </row>
    <row r="834">
      <c r="C834" s="7"/>
    </row>
    <row r="835">
      <c r="C835" s="7"/>
    </row>
    <row r="836">
      <c r="C836" s="7"/>
    </row>
    <row r="837">
      <c r="C837" s="7"/>
    </row>
    <row r="838">
      <c r="C838" s="7"/>
    </row>
    <row r="839">
      <c r="C839" s="7"/>
    </row>
    <row r="840">
      <c r="C840" s="7"/>
    </row>
    <row r="841">
      <c r="C841" s="7"/>
    </row>
    <row r="842">
      <c r="C842" s="7"/>
    </row>
    <row r="843">
      <c r="C843" s="7"/>
    </row>
    <row r="844">
      <c r="C844" s="7"/>
    </row>
    <row r="845">
      <c r="C845" s="7"/>
    </row>
    <row r="846">
      <c r="C846" s="7"/>
    </row>
    <row r="847">
      <c r="C847" s="7"/>
    </row>
    <row r="848">
      <c r="C848" s="7"/>
    </row>
    <row r="849">
      <c r="C849" s="7"/>
    </row>
    <row r="850">
      <c r="C850" s="7"/>
    </row>
    <row r="851">
      <c r="C851" s="7"/>
    </row>
    <row r="852">
      <c r="C852" s="7"/>
    </row>
    <row r="853">
      <c r="C853" s="7"/>
    </row>
    <row r="854">
      <c r="C854" s="7"/>
    </row>
    <row r="855">
      <c r="C855" s="7"/>
    </row>
    <row r="856">
      <c r="C856" s="7"/>
    </row>
    <row r="857">
      <c r="C857" s="7"/>
    </row>
    <row r="858">
      <c r="C858" s="7"/>
    </row>
    <row r="859">
      <c r="C859" s="7"/>
    </row>
    <row r="860">
      <c r="C860" s="7"/>
    </row>
    <row r="861">
      <c r="C861" s="7"/>
    </row>
    <row r="862">
      <c r="C862" s="7"/>
    </row>
    <row r="863">
      <c r="C863" s="7"/>
    </row>
    <row r="864">
      <c r="C864" s="7"/>
    </row>
    <row r="865">
      <c r="C865" s="7"/>
    </row>
    <row r="866">
      <c r="C866" s="7"/>
    </row>
    <row r="867">
      <c r="C867" s="7"/>
    </row>
    <row r="868">
      <c r="C868" s="7"/>
    </row>
    <row r="869">
      <c r="C869" s="7"/>
    </row>
    <row r="870">
      <c r="C870" s="7"/>
    </row>
    <row r="871">
      <c r="C871" s="7"/>
    </row>
    <row r="872">
      <c r="C872" s="7"/>
    </row>
    <row r="873">
      <c r="C873" s="7"/>
    </row>
    <row r="874">
      <c r="C874" s="7"/>
    </row>
    <row r="875">
      <c r="C875" s="7"/>
    </row>
    <row r="876">
      <c r="C876" s="7"/>
    </row>
    <row r="877">
      <c r="C877" s="7"/>
    </row>
    <row r="878">
      <c r="C878" s="7"/>
    </row>
    <row r="879">
      <c r="C879" s="7"/>
    </row>
    <row r="880">
      <c r="C880" s="7"/>
    </row>
    <row r="881">
      <c r="C881" s="7"/>
    </row>
    <row r="882">
      <c r="C882" s="7"/>
    </row>
    <row r="883">
      <c r="C883" s="7"/>
    </row>
    <row r="884">
      <c r="C884" s="7"/>
    </row>
    <row r="885">
      <c r="C885" s="7"/>
    </row>
    <row r="886">
      <c r="C886" s="7"/>
    </row>
    <row r="887">
      <c r="C887" s="7"/>
    </row>
    <row r="888">
      <c r="C888" s="7"/>
    </row>
    <row r="889">
      <c r="C889" s="7"/>
    </row>
    <row r="890">
      <c r="C890" s="7"/>
    </row>
    <row r="891">
      <c r="C891" s="7"/>
    </row>
    <row r="892">
      <c r="C892" s="7"/>
    </row>
    <row r="893">
      <c r="C893" s="7"/>
    </row>
    <row r="894">
      <c r="C894" s="7"/>
    </row>
    <row r="895">
      <c r="C895" s="7"/>
    </row>
    <row r="896">
      <c r="C896" s="7"/>
    </row>
    <row r="897">
      <c r="C897" s="7"/>
    </row>
    <row r="898">
      <c r="C898" s="7"/>
    </row>
    <row r="899">
      <c r="C899" s="7"/>
    </row>
    <row r="900">
      <c r="C900" s="7"/>
    </row>
    <row r="901">
      <c r="C901" s="7"/>
    </row>
    <row r="902">
      <c r="C902" s="7"/>
    </row>
    <row r="903">
      <c r="C903" s="7"/>
    </row>
    <row r="904">
      <c r="C904" s="7"/>
    </row>
    <row r="905">
      <c r="C905" s="7"/>
    </row>
    <row r="906">
      <c r="C906" s="7"/>
    </row>
    <row r="907">
      <c r="C907" s="7"/>
    </row>
    <row r="908">
      <c r="C908" s="7"/>
    </row>
    <row r="909">
      <c r="C909" s="7"/>
    </row>
    <row r="910">
      <c r="C910" s="7"/>
    </row>
    <row r="911">
      <c r="C911" s="7"/>
    </row>
    <row r="912">
      <c r="C912" s="7"/>
    </row>
    <row r="913">
      <c r="C913" s="7"/>
    </row>
    <row r="914">
      <c r="C914" s="7"/>
    </row>
    <row r="915">
      <c r="C915" s="7"/>
    </row>
    <row r="916">
      <c r="C916" s="7"/>
    </row>
    <row r="917">
      <c r="C917" s="7"/>
    </row>
    <row r="918">
      <c r="C918" s="7"/>
    </row>
    <row r="919">
      <c r="C919" s="7"/>
    </row>
    <row r="920">
      <c r="C920" s="7"/>
    </row>
    <row r="921">
      <c r="C921" s="7"/>
    </row>
    <row r="922">
      <c r="C922" s="7"/>
    </row>
    <row r="923">
      <c r="C923" s="7"/>
    </row>
    <row r="924">
      <c r="C924" s="7"/>
    </row>
    <row r="925">
      <c r="C925" s="7"/>
    </row>
    <row r="926">
      <c r="C926" s="7"/>
    </row>
    <row r="927">
      <c r="C927" s="7"/>
    </row>
    <row r="928">
      <c r="C928" s="7"/>
    </row>
    <row r="929">
      <c r="C929" s="7"/>
    </row>
    <row r="930">
      <c r="C930" s="7"/>
    </row>
    <row r="931">
      <c r="C931" s="7"/>
    </row>
    <row r="932">
      <c r="C932" s="7"/>
    </row>
    <row r="933">
      <c r="C933" s="7"/>
    </row>
    <row r="934">
      <c r="C934" s="7"/>
    </row>
    <row r="935">
      <c r="C935" s="7"/>
    </row>
    <row r="936">
      <c r="C936" s="7"/>
    </row>
    <row r="937">
      <c r="C937" s="7"/>
    </row>
    <row r="938">
      <c r="C938" s="7"/>
    </row>
    <row r="939">
      <c r="C939" s="7"/>
    </row>
    <row r="940">
      <c r="C940" s="7"/>
    </row>
    <row r="941">
      <c r="C941" s="7"/>
    </row>
    <row r="942">
      <c r="C942" s="7"/>
    </row>
    <row r="943">
      <c r="C943" s="7"/>
    </row>
    <row r="944">
      <c r="C944" s="7"/>
    </row>
    <row r="945">
      <c r="C945" s="7"/>
    </row>
    <row r="946">
      <c r="C946" s="7"/>
    </row>
    <row r="947">
      <c r="C947" s="7"/>
    </row>
    <row r="948">
      <c r="C948" s="7"/>
    </row>
    <row r="949">
      <c r="C949" s="7"/>
    </row>
    <row r="950">
      <c r="C950" s="7"/>
    </row>
    <row r="951">
      <c r="C951" s="7"/>
    </row>
    <row r="952">
      <c r="C952" s="7"/>
    </row>
    <row r="953">
      <c r="C953" s="7"/>
    </row>
    <row r="954">
      <c r="C954" s="7"/>
    </row>
    <row r="955">
      <c r="C955" s="7"/>
    </row>
    <row r="956">
      <c r="C956" s="7"/>
    </row>
    <row r="957">
      <c r="C957" s="7"/>
    </row>
    <row r="958">
      <c r="C958" s="7"/>
    </row>
    <row r="959">
      <c r="C959" s="7"/>
    </row>
    <row r="960">
      <c r="C960" s="7"/>
    </row>
    <row r="961">
      <c r="C961" s="7"/>
    </row>
    <row r="962">
      <c r="C962" s="7"/>
    </row>
    <row r="963">
      <c r="C963" s="7"/>
    </row>
    <row r="964">
      <c r="C964" s="7"/>
    </row>
    <row r="965">
      <c r="C965" s="7"/>
    </row>
    <row r="966">
      <c r="C966" s="7"/>
    </row>
    <row r="967">
      <c r="C967" s="7"/>
    </row>
    <row r="968">
      <c r="C968" s="7"/>
    </row>
    <row r="969">
      <c r="C969" s="7"/>
    </row>
    <row r="970">
      <c r="C970" s="7"/>
    </row>
    <row r="971">
      <c r="C971" s="7"/>
    </row>
    <row r="972">
      <c r="C972" s="7"/>
    </row>
    <row r="973">
      <c r="C973" s="7"/>
    </row>
    <row r="974">
      <c r="C974" s="7"/>
    </row>
    <row r="975">
      <c r="C975" s="7"/>
    </row>
    <row r="976">
      <c r="C976" s="7"/>
    </row>
    <row r="977">
      <c r="C977" s="7"/>
    </row>
    <row r="978">
      <c r="C978" s="7"/>
    </row>
    <row r="979">
      <c r="C979" s="7"/>
    </row>
    <row r="980">
      <c r="C980" s="7"/>
    </row>
    <row r="981">
      <c r="C981" s="7"/>
    </row>
    <row r="982">
      <c r="C982" s="7"/>
    </row>
    <row r="983">
      <c r="C983" s="7"/>
    </row>
    <row r="984">
      <c r="C984" s="7"/>
    </row>
    <row r="985">
      <c r="C985" s="7"/>
    </row>
    <row r="986">
      <c r="C986" s="7"/>
    </row>
    <row r="987">
      <c r="C987" s="7"/>
    </row>
    <row r="988">
      <c r="C988" s="7"/>
    </row>
    <row r="989">
      <c r="C989" s="7"/>
    </row>
    <row r="990">
      <c r="C990" s="7"/>
    </row>
    <row r="991">
      <c r="C991" s="7"/>
    </row>
    <row r="992">
      <c r="C992" s="7"/>
    </row>
    <row r="993">
      <c r="C993" s="7"/>
    </row>
    <row r="994">
      <c r="C994" s="7"/>
    </row>
    <row r="995">
      <c r="C995" s="7"/>
    </row>
    <row r="996">
      <c r="C996" s="7"/>
    </row>
    <row r="997">
      <c r="C997" s="7"/>
    </row>
    <row r="998">
      <c r="C998" s="7"/>
    </row>
    <row r="999">
      <c r="C999" s="7"/>
    </row>
    <row r="1000">
      <c r="C1000" s="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50.0"/>
    <col customWidth="1" min="3" max="3" width="52.13"/>
    <col customWidth="1" min="5" max="5" width="16.75"/>
  </cols>
  <sheetData>
    <row r="1">
      <c r="A1" s="3" t="s">
        <v>1</v>
      </c>
      <c r="B1" s="3" t="s">
        <v>2</v>
      </c>
      <c r="C1" s="9" t="s">
        <v>3</v>
      </c>
      <c r="D1" s="9" t="s">
        <v>4</v>
      </c>
      <c r="E1" s="9" t="s">
        <v>5</v>
      </c>
    </row>
    <row r="2">
      <c r="A2" s="3" t="s">
        <v>6</v>
      </c>
      <c r="B2" s="3" t="s">
        <v>7</v>
      </c>
      <c r="C2" s="10" t="str">
        <f t="array" ref="C2:C1000">SUBSTITUTE(SUBSTITUTE(SUBSTITUTE(SUBSTITUTE(SUBSTITUTE(SUBSTITUTE(SUBSTITUTE(SUBSTITUTE(B2:B1000, "S1|", ""), "S2|", ""), "S3|", ""), "S4|", ""), "S5|", ""), "S6|", ""), "S7|", ""), "S8|", "")
</f>
        <v>|M5|T5|W5|R5|M6|T6|W6|R6|F6|M7|T7|W7|R7|F7|M8|T8|W8|R8|F8|</v>
      </c>
      <c r="D2" s="6">
        <f t="array" ref="D2:D1000">IF(LEN(C2:C1000) &gt; 0, (LEN(C2:C1000)-1)/3, "")
</f>
        <v>19</v>
      </c>
      <c r="E2" s="6" t="str">
        <f t="array" ref="E2:E1000">IFERROR(LEFT(A2:A1000, FIND(":", A2:A1000) - 1), A2:A1000)
</f>
        <v>acz6@njit.edu</v>
      </c>
    </row>
    <row r="3">
      <c r="A3" s="3" t="s">
        <v>8</v>
      </c>
      <c r="B3" s="3" t="s">
        <v>9</v>
      </c>
      <c r="C3" s="2" t="s">
        <v>9</v>
      </c>
      <c r="D3" s="2">
        <v>16.0</v>
      </c>
      <c r="E3" s="2" t="s">
        <v>10</v>
      </c>
    </row>
    <row r="4">
      <c r="A4" s="3" t="s">
        <v>11</v>
      </c>
      <c r="B4" s="3" t="s">
        <v>12</v>
      </c>
      <c r="C4" s="2" t="s">
        <v>12</v>
      </c>
      <c r="D4" s="2">
        <v>16.0</v>
      </c>
      <c r="E4" s="2" t="s">
        <v>10</v>
      </c>
    </row>
    <row r="5">
      <c r="A5" s="3" t="s">
        <v>13</v>
      </c>
      <c r="B5" s="3" t="s">
        <v>14</v>
      </c>
      <c r="C5" s="2" t="s">
        <v>14</v>
      </c>
      <c r="D5" s="2">
        <v>16.0</v>
      </c>
      <c r="E5" s="2" t="s">
        <v>10</v>
      </c>
    </row>
    <row r="6">
      <c r="A6" s="3" t="s">
        <v>15</v>
      </c>
      <c r="B6" s="3" t="s">
        <v>16</v>
      </c>
      <c r="C6" s="2" t="s">
        <v>16</v>
      </c>
      <c r="D6" s="2">
        <v>5.0</v>
      </c>
      <c r="E6" s="2" t="s">
        <v>17</v>
      </c>
    </row>
    <row r="7">
      <c r="A7" s="3" t="s">
        <v>18</v>
      </c>
      <c r="B7" s="3" t="s">
        <v>19</v>
      </c>
      <c r="C7" s="2" t="s">
        <v>19</v>
      </c>
      <c r="D7" s="2">
        <v>12.0</v>
      </c>
      <c r="E7" s="2" t="s">
        <v>17</v>
      </c>
    </row>
    <row r="8">
      <c r="A8" s="3" t="s">
        <v>20</v>
      </c>
      <c r="B8" s="3" t="s">
        <v>21</v>
      </c>
      <c r="C8" s="2" t="s">
        <v>21</v>
      </c>
      <c r="D8" s="2">
        <v>7.0</v>
      </c>
      <c r="E8" s="2" t="s">
        <v>17</v>
      </c>
    </row>
    <row r="9">
      <c r="A9" s="3" t="s">
        <v>22</v>
      </c>
      <c r="B9" s="3" t="s">
        <v>23</v>
      </c>
      <c r="C9" s="2" t="s">
        <v>23</v>
      </c>
      <c r="D9" s="2">
        <v>7.0</v>
      </c>
      <c r="E9" s="2" t="s">
        <v>17</v>
      </c>
    </row>
    <row r="10">
      <c r="A10" s="3" t="s">
        <v>24</v>
      </c>
      <c r="B10" s="3" t="s">
        <v>25</v>
      </c>
      <c r="C10" s="2" t="s">
        <v>25</v>
      </c>
      <c r="D10" s="2">
        <v>7.0</v>
      </c>
      <c r="E10" s="2" t="s">
        <v>17</v>
      </c>
    </row>
    <row r="11">
      <c r="A11" s="3" t="s">
        <v>26</v>
      </c>
      <c r="B11" s="3" t="s">
        <v>27</v>
      </c>
      <c r="C11" s="2" t="s">
        <v>27</v>
      </c>
      <c r="D11" s="2">
        <v>2.0</v>
      </c>
      <c r="E11" s="2" t="s">
        <v>17</v>
      </c>
    </row>
    <row r="12">
      <c r="A12" s="3" t="s">
        <v>28</v>
      </c>
      <c r="B12" s="3" t="s">
        <v>29</v>
      </c>
      <c r="C12" s="2" t="s">
        <v>29</v>
      </c>
      <c r="D12" s="2">
        <v>5.0</v>
      </c>
      <c r="E12" s="2" t="s">
        <v>30</v>
      </c>
    </row>
    <row r="13">
      <c r="A13" s="3" t="s">
        <v>31</v>
      </c>
      <c r="B13" s="3" t="s">
        <v>32</v>
      </c>
      <c r="C13" s="2" t="s">
        <v>32</v>
      </c>
      <c r="D13" s="2">
        <v>2.0</v>
      </c>
      <c r="E13" s="2" t="s">
        <v>30</v>
      </c>
    </row>
    <row r="14">
      <c r="A14" s="3" t="s">
        <v>33</v>
      </c>
      <c r="B14" s="3" t="s">
        <v>34</v>
      </c>
      <c r="C14" s="2" t="s">
        <v>34</v>
      </c>
      <c r="D14" s="2">
        <v>8.0</v>
      </c>
      <c r="E14" s="2" t="s">
        <v>30</v>
      </c>
    </row>
    <row r="15">
      <c r="A15" s="3" t="s">
        <v>35</v>
      </c>
      <c r="B15" s="3" t="s">
        <v>36</v>
      </c>
      <c r="C15" s="2" t="s">
        <v>36</v>
      </c>
      <c r="D15" s="2">
        <v>8.0</v>
      </c>
      <c r="E15" s="2" t="s">
        <v>30</v>
      </c>
    </row>
    <row r="16">
      <c r="A16" s="3" t="s">
        <v>37</v>
      </c>
      <c r="B16" s="3" t="s">
        <v>38</v>
      </c>
      <c r="C16" s="2" t="s">
        <v>38</v>
      </c>
      <c r="D16" s="2">
        <v>6.0</v>
      </c>
      <c r="E16" s="2" t="s">
        <v>39</v>
      </c>
    </row>
    <row r="17">
      <c r="A17" s="3" t="s">
        <v>40</v>
      </c>
      <c r="B17" s="3" t="s">
        <v>41</v>
      </c>
      <c r="C17" s="2" t="s">
        <v>41</v>
      </c>
      <c r="D17" s="2">
        <v>8.0</v>
      </c>
      <c r="E17" s="2" t="s">
        <v>39</v>
      </c>
    </row>
    <row r="18">
      <c r="A18" s="3" t="s">
        <v>42</v>
      </c>
      <c r="B18" s="3" t="s">
        <v>43</v>
      </c>
      <c r="C18" s="2" t="s">
        <v>43</v>
      </c>
      <c r="D18" s="2">
        <v>8.0</v>
      </c>
      <c r="E18" s="2" t="s">
        <v>39</v>
      </c>
    </row>
    <row r="19">
      <c r="A19" s="3" t="s">
        <v>44</v>
      </c>
      <c r="B19" s="3" t="s">
        <v>45</v>
      </c>
      <c r="C19" s="2" t="s">
        <v>45</v>
      </c>
      <c r="D19" s="2">
        <v>6.0</v>
      </c>
      <c r="E19" s="2" t="s">
        <v>39</v>
      </c>
    </row>
    <row r="20">
      <c r="A20" s="3" t="s">
        <v>46</v>
      </c>
      <c r="B20" s="3" t="s">
        <v>47</v>
      </c>
      <c r="C20" s="2" t="s">
        <v>47</v>
      </c>
      <c r="D20" s="2">
        <v>14.0</v>
      </c>
      <c r="E20" s="2" t="s">
        <v>39</v>
      </c>
    </row>
    <row r="21">
      <c r="A21" s="3" t="s">
        <v>48</v>
      </c>
      <c r="B21" s="3" t="s">
        <v>49</v>
      </c>
      <c r="C21" s="2" t="s">
        <v>49</v>
      </c>
      <c r="D21" s="2">
        <v>2.0</v>
      </c>
      <c r="E21" s="2" t="s">
        <v>50</v>
      </c>
    </row>
    <row r="22">
      <c r="A22" s="3" t="s">
        <v>51</v>
      </c>
      <c r="B22" s="3" t="s">
        <v>52</v>
      </c>
      <c r="C22" s="2" t="s">
        <v>52</v>
      </c>
      <c r="D22" s="2">
        <v>2.0</v>
      </c>
      <c r="E22" s="2" t="s">
        <v>53</v>
      </c>
    </row>
    <row r="23">
      <c r="A23" s="3" t="s">
        <v>54</v>
      </c>
      <c r="B23" s="3" t="s">
        <v>55</v>
      </c>
      <c r="C23" s="2" t="s">
        <v>55</v>
      </c>
      <c r="D23" s="2">
        <v>2.0</v>
      </c>
      <c r="E23" s="2" t="s">
        <v>53</v>
      </c>
    </row>
    <row r="24">
      <c r="A24" s="3" t="s">
        <v>56</v>
      </c>
      <c r="B24" s="3" t="s">
        <v>57</v>
      </c>
      <c r="C24" s="2" t="s">
        <v>57</v>
      </c>
      <c r="D24" s="2">
        <v>10.0</v>
      </c>
      <c r="E24" s="2" t="s">
        <v>53</v>
      </c>
    </row>
    <row r="25">
      <c r="A25" s="3" t="s">
        <v>58</v>
      </c>
      <c r="B25" s="3" t="s">
        <v>59</v>
      </c>
      <c r="C25" s="2" t="s">
        <v>59</v>
      </c>
      <c r="D25" s="2">
        <v>16.0</v>
      </c>
      <c r="E25" s="2" t="s">
        <v>60</v>
      </c>
    </row>
    <row r="26">
      <c r="A26" s="3" t="s">
        <v>61</v>
      </c>
      <c r="B26" s="3" t="s">
        <v>62</v>
      </c>
      <c r="C26" s="2" t="s">
        <v>62</v>
      </c>
      <c r="D26" s="2">
        <v>16.0</v>
      </c>
      <c r="E26" s="2" t="s">
        <v>60</v>
      </c>
    </row>
    <row r="27">
      <c r="A27" s="3" t="s">
        <v>63</v>
      </c>
      <c r="B27" s="3" t="s">
        <v>64</v>
      </c>
      <c r="C27" s="2" t="s">
        <v>64</v>
      </c>
      <c r="D27" s="2">
        <v>16.0</v>
      </c>
      <c r="E27" s="2" t="s">
        <v>60</v>
      </c>
    </row>
    <row r="28">
      <c r="A28" s="3" t="s">
        <v>65</v>
      </c>
      <c r="B28" s="3" t="s">
        <v>66</v>
      </c>
      <c r="C28" s="2" t="s">
        <v>66</v>
      </c>
      <c r="D28" s="2">
        <v>1.0</v>
      </c>
      <c r="E28" s="2" t="s">
        <v>60</v>
      </c>
    </row>
    <row r="29">
      <c r="A29" s="3" t="s">
        <v>67</v>
      </c>
      <c r="B29" s="3" t="s">
        <v>29</v>
      </c>
      <c r="C29" s="2" t="s">
        <v>29</v>
      </c>
      <c r="D29" s="2">
        <v>5.0</v>
      </c>
      <c r="E29" s="2" t="s">
        <v>60</v>
      </c>
    </row>
    <row r="30">
      <c r="A30" s="3" t="s">
        <v>68</v>
      </c>
      <c r="B30" s="3" t="s">
        <v>69</v>
      </c>
      <c r="C30" s="2" t="s">
        <v>69</v>
      </c>
      <c r="D30" s="2">
        <v>16.0</v>
      </c>
      <c r="E30" s="2" t="s">
        <v>70</v>
      </c>
    </row>
    <row r="31">
      <c r="A31" s="3" t="s">
        <v>71</v>
      </c>
      <c r="B31" s="3" t="s">
        <v>72</v>
      </c>
      <c r="C31" s="2" t="s">
        <v>72</v>
      </c>
      <c r="D31" s="2">
        <v>16.0</v>
      </c>
      <c r="E31" s="2" t="s">
        <v>70</v>
      </c>
    </row>
    <row r="32">
      <c r="A32" s="3" t="s">
        <v>73</v>
      </c>
      <c r="B32" s="3" t="s">
        <v>74</v>
      </c>
      <c r="C32" s="2" t="s">
        <v>74</v>
      </c>
      <c r="D32" s="2">
        <v>16.0</v>
      </c>
      <c r="E32" s="2" t="s">
        <v>70</v>
      </c>
    </row>
    <row r="33">
      <c r="A33" s="3" t="s">
        <v>75</v>
      </c>
      <c r="B33" s="3" t="s">
        <v>76</v>
      </c>
      <c r="C33" s="2" t="s">
        <v>76</v>
      </c>
      <c r="D33" s="2">
        <v>8.0</v>
      </c>
      <c r="E33" s="2" t="s">
        <v>70</v>
      </c>
    </row>
    <row r="34">
      <c r="A34" s="3" t="s">
        <v>77</v>
      </c>
      <c r="B34" s="3" t="s">
        <v>78</v>
      </c>
      <c r="C34" s="2" t="s">
        <v>78</v>
      </c>
      <c r="D34" s="2">
        <v>15.0</v>
      </c>
      <c r="E34" s="2" t="s">
        <v>70</v>
      </c>
    </row>
    <row r="35">
      <c r="A35" s="3" t="s">
        <v>79</v>
      </c>
      <c r="B35" s="3" t="s">
        <v>80</v>
      </c>
      <c r="C35" s="2" t="s">
        <v>80</v>
      </c>
      <c r="D35" s="2">
        <v>8.0</v>
      </c>
      <c r="E35" s="2" t="s">
        <v>81</v>
      </c>
    </row>
    <row r="36">
      <c r="A36" s="3" t="s">
        <v>82</v>
      </c>
      <c r="B36" s="3" t="s">
        <v>83</v>
      </c>
      <c r="C36" s="2" t="s">
        <v>83</v>
      </c>
      <c r="D36" s="2">
        <v>8.0</v>
      </c>
      <c r="E36" s="2" t="s">
        <v>81</v>
      </c>
    </row>
    <row r="37">
      <c r="A37" s="3" t="s">
        <v>84</v>
      </c>
      <c r="B37" s="3" t="s">
        <v>29</v>
      </c>
      <c r="C37" s="2" t="s">
        <v>29</v>
      </c>
      <c r="D37" s="2">
        <v>5.0</v>
      </c>
      <c r="E37" s="2" t="s">
        <v>81</v>
      </c>
    </row>
    <row r="38">
      <c r="A38" s="3" t="s">
        <v>85</v>
      </c>
      <c r="B38" s="3" t="s">
        <v>86</v>
      </c>
      <c r="C38" s="2" t="s">
        <v>86</v>
      </c>
      <c r="D38" s="2">
        <v>6.0</v>
      </c>
      <c r="E38" s="2" t="s">
        <v>87</v>
      </c>
    </row>
    <row r="39">
      <c r="A39" s="3" t="s">
        <v>88</v>
      </c>
      <c r="B39" s="3" t="s">
        <v>89</v>
      </c>
      <c r="C39" s="2" t="s">
        <v>89</v>
      </c>
      <c r="D39" s="2">
        <v>4.0</v>
      </c>
      <c r="E39" s="2" t="s">
        <v>87</v>
      </c>
    </row>
    <row r="40">
      <c r="A40" s="3" t="s">
        <v>90</v>
      </c>
      <c r="B40" s="3" t="s">
        <v>91</v>
      </c>
      <c r="C40" s="2" t="s">
        <v>91</v>
      </c>
      <c r="D40" s="2">
        <v>3.0</v>
      </c>
      <c r="E40" s="2" t="s">
        <v>87</v>
      </c>
    </row>
    <row r="41">
      <c r="A41" s="3" t="s">
        <v>92</v>
      </c>
      <c r="B41" s="3" t="s">
        <v>93</v>
      </c>
      <c r="C41" s="2" t="s">
        <v>93</v>
      </c>
      <c r="D41" s="2">
        <v>15.0</v>
      </c>
      <c r="E41" s="2" t="s">
        <v>94</v>
      </c>
    </row>
    <row r="42">
      <c r="A42" s="3" t="s">
        <v>95</v>
      </c>
      <c r="B42" s="3" t="s">
        <v>96</v>
      </c>
      <c r="C42" s="2" t="s">
        <v>96</v>
      </c>
      <c r="D42" s="2">
        <v>4.0</v>
      </c>
      <c r="E42" s="2" t="s">
        <v>94</v>
      </c>
    </row>
    <row r="43">
      <c r="A43" s="3" t="s">
        <v>97</v>
      </c>
      <c r="B43" s="3" t="s">
        <v>98</v>
      </c>
      <c r="C43" s="2" t="s">
        <v>98</v>
      </c>
      <c r="D43" s="2">
        <v>2.0</v>
      </c>
      <c r="E43" s="2" t="s">
        <v>99</v>
      </c>
    </row>
    <row r="44">
      <c r="A44" s="3" t="s">
        <v>100</v>
      </c>
      <c r="B44" s="3" t="s">
        <v>101</v>
      </c>
      <c r="C44" s="2" t="s">
        <v>101</v>
      </c>
      <c r="D44" s="2">
        <v>4.0</v>
      </c>
      <c r="E44" s="2" t="s">
        <v>99</v>
      </c>
    </row>
    <row r="45">
      <c r="A45" s="3" t="s">
        <v>102</v>
      </c>
      <c r="B45" s="3" t="s">
        <v>49</v>
      </c>
      <c r="C45" s="2" t="s">
        <v>49</v>
      </c>
      <c r="D45" s="2">
        <v>2.0</v>
      </c>
      <c r="E45" s="2" t="s">
        <v>99</v>
      </c>
    </row>
    <row r="46">
      <c r="A46" s="3" t="s">
        <v>103</v>
      </c>
      <c r="B46" s="3" t="s">
        <v>104</v>
      </c>
      <c r="C46" s="2" t="s">
        <v>104</v>
      </c>
      <c r="D46" s="2">
        <v>4.0</v>
      </c>
      <c r="E46" s="2" t="s">
        <v>105</v>
      </c>
    </row>
    <row r="47">
      <c r="A47" s="3" t="s">
        <v>106</v>
      </c>
      <c r="B47" s="3" t="s">
        <v>107</v>
      </c>
      <c r="C47" s="2" t="s">
        <v>107</v>
      </c>
      <c r="D47" s="2">
        <v>4.0</v>
      </c>
      <c r="E47" s="2" t="s">
        <v>105</v>
      </c>
    </row>
    <row r="48">
      <c r="A48" s="3" t="s">
        <v>108</v>
      </c>
      <c r="B48" s="3" t="s">
        <v>109</v>
      </c>
      <c r="C48" s="2" t="s">
        <v>109</v>
      </c>
      <c r="D48" s="2">
        <v>4.0</v>
      </c>
      <c r="E48" s="2" t="s">
        <v>105</v>
      </c>
    </row>
    <row r="49">
      <c r="A49" s="3" t="s">
        <v>110</v>
      </c>
      <c r="B49" s="3" t="s">
        <v>111</v>
      </c>
      <c r="C49" s="2" t="s">
        <v>111</v>
      </c>
      <c r="D49" s="2">
        <v>20.0</v>
      </c>
      <c r="E49" s="2" t="s">
        <v>105</v>
      </c>
    </row>
    <row r="50">
      <c r="A50" s="3" t="s">
        <v>112</v>
      </c>
      <c r="B50" s="3" t="s">
        <v>93</v>
      </c>
      <c r="C50" s="2" t="s">
        <v>93</v>
      </c>
      <c r="D50" s="2">
        <v>15.0</v>
      </c>
      <c r="E50" s="2" t="s">
        <v>113</v>
      </c>
    </row>
    <row r="51">
      <c r="A51" s="3" t="s">
        <v>114</v>
      </c>
      <c r="B51" s="3" t="s">
        <v>52</v>
      </c>
      <c r="C51" s="2" t="s">
        <v>52</v>
      </c>
      <c r="D51" s="2">
        <v>2.0</v>
      </c>
      <c r="E51" s="2" t="s">
        <v>113</v>
      </c>
    </row>
    <row r="52">
      <c r="A52" s="3" t="s">
        <v>115</v>
      </c>
      <c r="B52" s="3" t="s">
        <v>55</v>
      </c>
      <c r="C52" s="2" t="s">
        <v>55</v>
      </c>
      <c r="D52" s="2">
        <v>2.0</v>
      </c>
      <c r="E52" s="2" t="s">
        <v>113</v>
      </c>
    </row>
    <row r="53">
      <c r="A53" s="3" t="s">
        <v>116</v>
      </c>
      <c r="B53" s="3" t="s">
        <v>117</v>
      </c>
      <c r="C53" s="2" t="s">
        <v>117</v>
      </c>
      <c r="D53" s="2">
        <v>2.0</v>
      </c>
      <c r="E53" s="2" t="s">
        <v>113</v>
      </c>
    </row>
    <row r="54">
      <c r="A54" s="3" t="s">
        <v>118</v>
      </c>
      <c r="B54" s="3" t="s">
        <v>119</v>
      </c>
      <c r="C54" s="2" t="s">
        <v>119</v>
      </c>
      <c r="D54" s="2">
        <v>14.0</v>
      </c>
      <c r="E54" s="2" t="s">
        <v>113</v>
      </c>
    </row>
    <row r="55">
      <c r="A55" s="3" t="s">
        <v>120</v>
      </c>
      <c r="B55" s="3" t="s">
        <v>121</v>
      </c>
      <c r="C55" s="2" t="s">
        <v>121</v>
      </c>
      <c r="D55" s="2">
        <v>22.0</v>
      </c>
      <c r="E55" s="2" t="s">
        <v>122</v>
      </c>
    </row>
    <row r="56">
      <c r="A56" s="3" t="s">
        <v>123</v>
      </c>
      <c r="B56" s="3" t="s">
        <v>124</v>
      </c>
      <c r="C56" s="2" t="s">
        <v>124</v>
      </c>
      <c r="D56" s="2">
        <v>7.0</v>
      </c>
      <c r="E56" s="2" t="s">
        <v>122</v>
      </c>
    </row>
    <row r="57">
      <c r="A57" s="3" t="s">
        <v>125</v>
      </c>
      <c r="B57" s="3" t="s">
        <v>126</v>
      </c>
      <c r="C57" s="2" t="s">
        <v>126</v>
      </c>
      <c r="D57" s="2">
        <v>6.0</v>
      </c>
      <c r="E57" s="2" t="s">
        <v>122</v>
      </c>
    </row>
    <row r="58">
      <c r="A58" s="3" t="s">
        <v>127</v>
      </c>
      <c r="B58" s="3" t="s">
        <v>128</v>
      </c>
      <c r="C58" s="2" t="s">
        <v>128</v>
      </c>
      <c r="D58" s="2">
        <v>20.0</v>
      </c>
      <c r="E58" s="2" t="s">
        <v>129</v>
      </c>
    </row>
    <row r="59">
      <c r="A59" s="3" t="s">
        <v>130</v>
      </c>
      <c r="B59" s="3" t="s">
        <v>131</v>
      </c>
      <c r="C59" s="2" t="s">
        <v>131</v>
      </c>
      <c r="D59" s="2">
        <v>8.0</v>
      </c>
      <c r="E59" s="2" t="s">
        <v>129</v>
      </c>
    </row>
    <row r="60">
      <c r="A60" s="3" t="s">
        <v>132</v>
      </c>
      <c r="B60" s="3" t="s">
        <v>133</v>
      </c>
      <c r="C60" s="2" t="s">
        <v>133</v>
      </c>
      <c r="D60" s="2">
        <v>8.0</v>
      </c>
      <c r="E60" s="2" t="s">
        <v>129</v>
      </c>
    </row>
    <row r="61">
      <c r="A61" s="3" t="s">
        <v>134</v>
      </c>
      <c r="B61" s="3" t="s">
        <v>135</v>
      </c>
      <c r="C61" s="2" t="s">
        <v>135</v>
      </c>
      <c r="D61" s="2">
        <v>8.0</v>
      </c>
      <c r="E61" s="2" t="s">
        <v>129</v>
      </c>
    </row>
    <row r="62">
      <c r="A62" s="3" t="s">
        <v>136</v>
      </c>
      <c r="B62" s="3" t="s">
        <v>19</v>
      </c>
      <c r="C62" s="2" t="s">
        <v>19</v>
      </c>
      <c r="D62" s="2">
        <v>12.0</v>
      </c>
      <c r="E62" s="2" t="s">
        <v>129</v>
      </c>
    </row>
    <row r="63">
      <c r="A63" s="3" t="s">
        <v>137</v>
      </c>
      <c r="B63" s="3" t="s">
        <v>138</v>
      </c>
      <c r="C63" s="2" t="s">
        <v>138</v>
      </c>
      <c r="D63" s="2">
        <v>16.0</v>
      </c>
      <c r="E63" s="2" t="s">
        <v>139</v>
      </c>
    </row>
    <row r="64">
      <c r="A64" s="3" t="s">
        <v>140</v>
      </c>
      <c r="B64" s="3" t="s">
        <v>141</v>
      </c>
      <c r="C64" s="2" t="s">
        <v>141</v>
      </c>
      <c r="D64" s="2">
        <v>6.0</v>
      </c>
      <c r="E64" s="2" t="s">
        <v>139</v>
      </c>
    </row>
    <row r="65">
      <c r="A65" s="3" t="s">
        <v>142</v>
      </c>
      <c r="B65" s="3" t="s">
        <v>143</v>
      </c>
      <c r="C65" s="2" t="s">
        <v>143</v>
      </c>
      <c r="D65" s="2">
        <v>4.0</v>
      </c>
      <c r="E65" s="2" t="s">
        <v>144</v>
      </c>
    </row>
    <row r="66">
      <c r="A66" s="3" t="s">
        <v>145</v>
      </c>
      <c r="B66" s="3" t="s">
        <v>146</v>
      </c>
      <c r="C66" s="2" t="s">
        <v>146</v>
      </c>
      <c r="D66" s="2">
        <v>4.0</v>
      </c>
      <c r="E66" s="2" t="s">
        <v>144</v>
      </c>
    </row>
    <row r="67">
      <c r="A67" s="3" t="s">
        <v>147</v>
      </c>
      <c r="B67" s="3" t="s">
        <v>109</v>
      </c>
      <c r="C67" s="2" t="s">
        <v>109</v>
      </c>
      <c r="D67" s="2">
        <v>4.0</v>
      </c>
      <c r="E67" s="2" t="s">
        <v>144</v>
      </c>
    </row>
    <row r="68">
      <c r="A68" s="3" t="s">
        <v>148</v>
      </c>
      <c r="B68" s="3" t="s">
        <v>93</v>
      </c>
      <c r="C68" s="2" t="s">
        <v>93</v>
      </c>
      <c r="D68" s="2">
        <v>15.0</v>
      </c>
      <c r="E68" s="2" t="s">
        <v>144</v>
      </c>
    </row>
    <row r="69">
      <c r="A69" s="3" t="s">
        <v>149</v>
      </c>
      <c r="B69" s="3" t="s">
        <v>150</v>
      </c>
      <c r="C69" s="2" t="s">
        <v>150</v>
      </c>
      <c r="D69" s="2">
        <v>16.0</v>
      </c>
      <c r="E69" s="2" t="s">
        <v>151</v>
      </c>
    </row>
    <row r="70">
      <c r="A70" s="3" t="s">
        <v>152</v>
      </c>
      <c r="B70" s="3" t="s">
        <v>153</v>
      </c>
      <c r="C70" s="2" t="s">
        <v>153</v>
      </c>
      <c r="D70" s="2">
        <v>16.0</v>
      </c>
      <c r="E70" s="2" t="s">
        <v>151</v>
      </c>
    </row>
    <row r="71">
      <c r="A71" s="3" t="s">
        <v>154</v>
      </c>
      <c r="B71" s="3" t="s">
        <v>155</v>
      </c>
      <c r="C71" s="2" t="s">
        <v>155</v>
      </c>
      <c r="D71" s="2">
        <v>16.0</v>
      </c>
      <c r="E71" s="2" t="s">
        <v>151</v>
      </c>
    </row>
    <row r="72">
      <c r="A72" s="3" t="s">
        <v>156</v>
      </c>
      <c r="B72" s="3" t="s">
        <v>157</v>
      </c>
      <c r="C72" s="2" t="s">
        <v>157</v>
      </c>
      <c r="D72" s="2">
        <v>16.0</v>
      </c>
      <c r="E72" s="2" t="s">
        <v>158</v>
      </c>
    </row>
    <row r="73">
      <c r="A73" s="3" t="s">
        <v>159</v>
      </c>
      <c r="B73" s="3" t="s">
        <v>160</v>
      </c>
      <c r="C73" s="2" t="s">
        <v>160</v>
      </c>
      <c r="D73" s="2">
        <v>16.0</v>
      </c>
      <c r="E73" s="2" t="s">
        <v>158</v>
      </c>
    </row>
    <row r="74">
      <c r="A74" s="3" t="s">
        <v>161</v>
      </c>
      <c r="B74" s="3" t="s">
        <v>162</v>
      </c>
      <c r="C74" s="2" t="s">
        <v>162</v>
      </c>
      <c r="D74" s="2">
        <v>16.0</v>
      </c>
      <c r="E74" s="2" t="s">
        <v>158</v>
      </c>
    </row>
    <row r="75">
      <c r="A75" s="3" t="s">
        <v>163</v>
      </c>
      <c r="B75" s="3" t="s">
        <v>164</v>
      </c>
      <c r="C75" s="2" t="s">
        <v>164</v>
      </c>
      <c r="D75" s="2">
        <v>20.0</v>
      </c>
      <c r="E75" s="2" t="s">
        <v>158</v>
      </c>
    </row>
    <row r="76">
      <c r="A76" s="3" t="s">
        <v>165</v>
      </c>
      <c r="B76" s="3" t="s">
        <v>166</v>
      </c>
      <c r="C76" s="2" t="s">
        <v>166</v>
      </c>
      <c r="D76" s="2">
        <v>2.0</v>
      </c>
      <c r="E76" s="2" t="s">
        <v>167</v>
      </c>
    </row>
    <row r="77">
      <c r="A77" s="3" t="s">
        <v>168</v>
      </c>
      <c r="B77" s="3" t="s">
        <v>169</v>
      </c>
      <c r="C77" s="2" t="s">
        <v>169</v>
      </c>
      <c r="D77" s="2">
        <v>2.0</v>
      </c>
      <c r="E77" s="2" t="s">
        <v>167</v>
      </c>
    </row>
    <row r="78">
      <c r="A78" s="3" t="s">
        <v>170</v>
      </c>
      <c r="B78" s="3" t="s">
        <v>171</v>
      </c>
      <c r="C78" s="2" t="s">
        <v>171</v>
      </c>
      <c r="D78" s="2">
        <v>2.0</v>
      </c>
      <c r="E78" s="2" t="s">
        <v>167</v>
      </c>
    </row>
    <row r="79">
      <c r="A79" s="3" t="s">
        <v>172</v>
      </c>
      <c r="B79" s="3" t="s">
        <v>173</v>
      </c>
      <c r="C79" s="2" t="s">
        <v>173</v>
      </c>
      <c r="D79" s="2">
        <v>20.0</v>
      </c>
      <c r="E79" s="2" t="s">
        <v>167</v>
      </c>
    </row>
    <row r="80">
      <c r="A80" s="3" t="s">
        <v>174</v>
      </c>
      <c r="B80" s="3" t="s">
        <v>175</v>
      </c>
      <c r="C80" s="2" t="s">
        <v>175</v>
      </c>
      <c r="D80" s="2">
        <v>8.0</v>
      </c>
      <c r="E80" s="2" t="s">
        <v>167</v>
      </c>
    </row>
    <row r="81">
      <c r="A81" s="3" t="s">
        <v>176</v>
      </c>
      <c r="B81" s="3" t="s">
        <v>177</v>
      </c>
      <c r="C81" s="2" t="s">
        <v>177</v>
      </c>
      <c r="D81" s="2">
        <v>16.0</v>
      </c>
      <c r="E81" s="2" t="s">
        <v>178</v>
      </c>
    </row>
    <row r="82">
      <c r="A82" s="3" t="s">
        <v>179</v>
      </c>
      <c r="B82" s="3" t="s">
        <v>180</v>
      </c>
      <c r="C82" s="2" t="s">
        <v>180</v>
      </c>
      <c r="D82" s="2">
        <v>24.0</v>
      </c>
      <c r="E82" s="2" t="s">
        <v>178</v>
      </c>
    </row>
    <row r="83">
      <c r="A83" s="3" t="s">
        <v>181</v>
      </c>
      <c r="B83" s="3" t="s">
        <v>182</v>
      </c>
      <c r="C83" s="2" t="s">
        <v>182</v>
      </c>
      <c r="D83" s="2">
        <v>20.0</v>
      </c>
      <c r="E83" s="2" t="s">
        <v>183</v>
      </c>
    </row>
    <row r="84">
      <c r="A84" s="3" t="s">
        <v>184</v>
      </c>
      <c r="B84" s="3" t="s">
        <v>185</v>
      </c>
      <c r="C84" s="2" t="s">
        <v>185</v>
      </c>
      <c r="D84" s="2">
        <v>2.0</v>
      </c>
      <c r="E84" s="2" t="s">
        <v>183</v>
      </c>
    </row>
    <row r="85">
      <c r="A85" s="3" t="s">
        <v>186</v>
      </c>
      <c r="B85" s="3" t="s">
        <v>29</v>
      </c>
      <c r="C85" s="2" t="s">
        <v>29</v>
      </c>
      <c r="D85" s="2">
        <v>5.0</v>
      </c>
      <c r="E85" s="2" t="s">
        <v>183</v>
      </c>
    </row>
    <row r="86">
      <c r="A86" s="3" t="s">
        <v>187</v>
      </c>
      <c r="B86" s="3" t="s">
        <v>182</v>
      </c>
      <c r="C86" s="2" t="s">
        <v>182</v>
      </c>
      <c r="D86" s="2">
        <v>20.0</v>
      </c>
      <c r="E86" s="2" t="s">
        <v>188</v>
      </c>
    </row>
    <row r="87">
      <c r="A87" s="3" t="s">
        <v>189</v>
      </c>
      <c r="B87" s="3" t="s">
        <v>190</v>
      </c>
      <c r="C87" s="2" t="s">
        <v>190</v>
      </c>
      <c r="D87" s="2">
        <v>4.0</v>
      </c>
      <c r="E87" s="2" t="s">
        <v>188</v>
      </c>
    </row>
    <row r="88">
      <c r="A88" s="3" t="s">
        <v>191</v>
      </c>
      <c r="B88" s="3" t="s">
        <v>192</v>
      </c>
      <c r="C88" s="2" t="s">
        <v>192</v>
      </c>
      <c r="D88" s="2">
        <v>4.0</v>
      </c>
      <c r="E88" s="2" t="s">
        <v>188</v>
      </c>
    </row>
    <row r="89">
      <c r="A89" s="3" t="s">
        <v>193</v>
      </c>
      <c r="B89" s="3" t="s">
        <v>194</v>
      </c>
      <c r="C89" s="2" t="s">
        <v>194</v>
      </c>
      <c r="D89" s="2">
        <v>4.0</v>
      </c>
      <c r="E89" s="2" t="s">
        <v>188</v>
      </c>
    </row>
    <row r="90">
      <c r="A90" s="3" t="s">
        <v>195</v>
      </c>
      <c r="B90" s="3" t="s">
        <v>196</v>
      </c>
      <c r="C90" s="2" t="s">
        <v>196</v>
      </c>
      <c r="D90" s="2">
        <v>1.0</v>
      </c>
      <c r="E90" s="2" t="s">
        <v>188</v>
      </c>
    </row>
    <row r="91">
      <c r="A91" s="3" t="s">
        <v>197</v>
      </c>
      <c r="B91" s="3" t="s">
        <v>198</v>
      </c>
      <c r="C91" s="2" t="s">
        <v>198</v>
      </c>
      <c r="D91" s="2">
        <v>8.0</v>
      </c>
      <c r="E91" s="2" t="s">
        <v>188</v>
      </c>
    </row>
    <row r="92">
      <c r="A92" s="3" t="s">
        <v>199</v>
      </c>
      <c r="B92" s="3" t="s">
        <v>200</v>
      </c>
      <c r="C92" s="2" t="s">
        <v>200</v>
      </c>
      <c r="D92" s="2">
        <v>12.0</v>
      </c>
      <c r="E92" s="2" t="s">
        <v>201</v>
      </c>
    </row>
    <row r="93">
      <c r="A93" s="3" t="s">
        <v>202</v>
      </c>
      <c r="B93" s="3" t="s">
        <v>203</v>
      </c>
      <c r="C93" s="2" t="s">
        <v>203</v>
      </c>
      <c r="D93" s="2">
        <v>10.0</v>
      </c>
      <c r="E93" s="2" t="s">
        <v>201</v>
      </c>
    </row>
    <row r="94">
      <c r="A94" s="3" t="s">
        <v>204</v>
      </c>
      <c r="B94" s="3" t="s">
        <v>205</v>
      </c>
      <c r="C94" s="2" t="s">
        <v>205</v>
      </c>
      <c r="D94" s="2">
        <v>12.0</v>
      </c>
      <c r="E94" s="2" t="s">
        <v>201</v>
      </c>
    </row>
    <row r="95">
      <c r="A95" s="3" t="s">
        <v>206</v>
      </c>
      <c r="B95" s="3" t="s">
        <v>207</v>
      </c>
      <c r="C95" s="2" t="s">
        <v>207</v>
      </c>
      <c r="D95" s="2">
        <v>12.0</v>
      </c>
      <c r="E95" s="2" t="s">
        <v>201</v>
      </c>
    </row>
    <row r="96">
      <c r="A96" s="3" t="s">
        <v>208</v>
      </c>
      <c r="B96" s="3" t="s">
        <v>209</v>
      </c>
      <c r="C96" s="2" t="s">
        <v>209</v>
      </c>
      <c r="D96" s="2">
        <v>10.0</v>
      </c>
      <c r="E96" s="2" t="s">
        <v>201</v>
      </c>
    </row>
    <row r="97">
      <c r="A97" s="3" t="s">
        <v>210</v>
      </c>
      <c r="B97" s="3" t="s">
        <v>211</v>
      </c>
      <c r="C97" s="2" t="s">
        <v>211</v>
      </c>
      <c r="D97" s="2">
        <v>6.0</v>
      </c>
      <c r="E97" s="2" t="s">
        <v>201</v>
      </c>
    </row>
    <row r="98">
      <c r="A98" s="3" t="s">
        <v>212</v>
      </c>
      <c r="B98" s="3" t="s">
        <v>29</v>
      </c>
      <c r="C98" s="2" t="s">
        <v>29</v>
      </c>
      <c r="D98" s="2">
        <v>5.0</v>
      </c>
      <c r="E98" s="2" t="s">
        <v>213</v>
      </c>
    </row>
    <row r="99">
      <c r="A99" s="3" t="s">
        <v>214</v>
      </c>
      <c r="B99" s="3" t="s">
        <v>215</v>
      </c>
      <c r="C99" s="2" t="s">
        <v>215</v>
      </c>
      <c r="D99" s="2">
        <v>6.0</v>
      </c>
      <c r="E99" s="2" t="s">
        <v>213</v>
      </c>
    </row>
    <row r="100">
      <c r="A100" s="3" t="s">
        <v>216</v>
      </c>
      <c r="B100" s="3" t="s">
        <v>217</v>
      </c>
      <c r="C100" s="2" t="s">
        <v>217</v>
      </c>
      <c r="D100" s="2">
        <v>7.0</v>
      </c>
      <c r="E100" s="2" t="s">
        <v>213</v>
      </c>
    </row>
    <row r="101">
      <c r="A101" s="3" t="s">
        <v>218</v>
      </c>
      <c r="B101" s="3" t="s">
        <v>219</v>
      </c>
      <c r="C101" s="2" t="s">
        <v>219</v>
      </c>
      <c r="D101" s="2">
        <v>6.0</v>
      </c>
      <c r="E101" s="2" t="s">
        <v>213</v>
      </c>
    </row>
    <row r="102">
      <c r="A102" s="3" t="s">
        <v>220</v>
      </c>
      <c r="B102" s="3" t="s">
        <v>221</v>
      </c>
      <c r="C102" s="2" t="s">
        <v>221</v>
      </c>
      <c r="D102" s="2">
        <v>16.0</v>
      </c>
      <c r="E102" s="2" t="s">
        <v>222</v>
      </c>
    </row>
    <row r="103">
      <c r="A103" s="3" t="s">
        <v>223</v>
      </c>
      <c r="B103" s="3" t="s">
        <v>182</v>
      </c>
      <c r="C103" s="2" t="s">
        <v>182</v>
      </c>
      <c r="D103" s="2">
        <v>20.0</v>
      </c>
      <c r="E103" s="2" t="s">
        <v>224</v>
      </c>
    </row>
    <row r="104">
      <c r="A104" s="3" t="s">
        <v>225</v>
      </c>
      <c r="B104" s="3" t="s">
        <v>226</v>
      </c>
      <c r="C104" s="2" t="s">
        <v>226</v>
      </c>
      <c r="D104" s="2">
        <v>15.0</v>
      </c>
      <c r="E104" s="2" t="s">
        <v>224</v>
      </c>
    </row>
    <row r="105">
      <c r="A105" s="3" t="s">
        <v>227</v>
      </c>
      <c r="B105" s="3" t="s">
        <v>228</v>
      </c>
      <c r="C105" s="2" t="s">
        <v>228</v>
      </c>
      <c r="D105" s="2">
        <v>5.0</v>
      </c>
      <c r="E105" s="2" t="s">
        <v>224</v>
      </c>
    </row>
    <row r="106">
      <c r="A106" s="3" t="s">
        <v>229</v>
      </c>
      <c r="B106" s="3" t="s">
        <v>78</v>
      </c>
      <c r="C106" s="2" t="s">
        <v>78</v>
      </c>
      <c r="D106" s="2">
        <v>15.0</v>
      </c>
      <c r="E106" s="2" t="s">
        <v>230</v>
      </c>
    </row>
    <row r="107">
      <c r="A107" s="3" t="s">
        <v>231</v>
      </c>
      <c r="B107" s="3" t="s">
        <v>232</v>
      </c>
      <c r="C107" s="2" t="s">
        <v>232</v>
      </c>
      <c r="D107" s="2">
        <v>16.0</v>
      </c>
      <c r="E107" s="2" t="s">
        <v>230</v>
      </c>
    </row>
    <row r="108">
      <c r="A108" s="3" t="s">
        <v>233</v>
      </c>
      <c r="B108" s="3" t="s">
        <v>69</v>
      </c>
      <c r="C108" s="2" t="s">
        <v>69</v>
      </c>
      <c r="D108" s="2">
        <v>16.0</v>
      </c>
      <c r="E108" s="2" t="s">
        <v>230</v>
      </c>
    </row>
    <row r="109">
      <c r="A109" s="3" t="s">
        <v>234</v>
      </c>
      <c r="B109" s="3" t="s">
        <v>235</v>
      </c>
      <c r="C109" s="2" t="s">
        <v>235</v>
      </c>
      <c r="D109" s="2">
        <v>16.0</v>
      </c>
      <c r="E109" s="2" t="s">
        <v>230</v>
      </c>
    </row>
    <row r="110">
      <c r="A110" s="3" t="s">
        <v>236</v>
      </c>
      <c r="B110" s="3" t="s">
        <v>237</v>
      </c>
      <c r="C110" s="2" t="s">
        <v>237</v>
      </c>
      <c r="D110" s="2">
        <v>2.0</v>
      </c>
      <c r="E110" s="2" t="s">
        <v>230</v>
      </c>
    </row>
    <row r="111">
      <c r="A111" s="3" t="s">
        <v>238</v>
      </c>
      <c r="B111" s="3" t="s">
        <v>239</v>
      </c>
      <c r="C111" s="2" t="s">
        <v>239</v>
      </c>
      <c r="D111" s="2">
        <v>14.0</v>
      </c>
      <c r="E111" s="2" t="s">
        <v>240</v>
      </c>
    </row>
    <row r="112">
      <c r="A112" s="3" t="s">
        <v>241</v>
      </c>
      <c r="B112" s="3" t="s">
        <v>242</v>
      </c>
      <c r="C112" s="2" t="s">
        <v>242</v>
      </c>
      <c r="D112" s="2">
        <v>22.0</v>
      </c>
      <c r="E112" s="2" t="s">
        <v>240</v>
      </c>
    </row>
    <row r="113">
      <c r="A113" s="3" t="s">
        <v>243</v>
      </c>
      <c r="B113" s="3" t="s">
        <v>244</v>
      </c>
      <c r="C113" s="2" t="s">
        <v>244</v>
      </c>
      <c r="D113" s="2">
        <v>28.0</v>
      </c>
      <c r="E113" s="2" t="s">
        <v>240</v>
      </c>
    </row>
    <row r="114">
      <c r="A114" s="3" t="s">
        <v>245</v>
      </c>
      <c r="B114" s="3" t="s">
        <v>246</v>
      </c>
      <c r="C114" s="2" t="s">
        <v>246</v>
      </c>
      <c r="D114" s="2">
        <v>4.0</v>
      </c>
      <c r="E114" s="2" t="s">
        <v>240</v>
      </c>
    </row>
    <row r="115">
      <c r="A115" s="3" t="s">
        <v>247</v>
      </c>
      <c r="B115" s="3" t="s">
        <v>248</v>
      </c>
      <c r="C115" s="2" t="s">
        <v>248</v>
      </c>
      <c r="D115" s="2">
        <v>16.0</v>
      </c>
      <c r="E115" s="2" t="s">
        <v>249</v>
      </c>
    </row>
    <row r="116">
      <c r="A116" s="3" t="s">
        <v>250</v>
      </c>
      <c r="B116" s="3" t="s">
        <v>251</v>
      </c>
      <c r="C116" s="2" t="s">
        <v>251</v>
      </c>
      <c r="D116" s="2">
        <v>16.0</v>
      </c>
      <c r="E116" s="2" t="s">
        <v>249</v>
      </c>
    </row>
    <row r="117">
      <c r="A117" s="3" t="s">
        <v>252</v>
      </c>
      <c r="B117" s="3" t="s">
        <v>253</v>
      </c>
      <c r="C117" s="2" t="s">
        <v>253</v>
      </c>
      <c r="D117" s="2">
        <v>16.0</v>
      </c>
      <c r="E117" s="2" t="s">
        <v>249</v>
      </c>
    </row>
    <row r="118">
      <c r="A118" s="3" t="s">
        <v>254</v>
      </c>
      <c r="B118" s="3" t="s">
        <v>255</v>
      </c>
      <c r="C118" s="2" t="s">
        <v>255</v>
      </c>
      <c r="D118" s="2">
        <v>10.0</v>
      </c>
      <c r="E118" s="2" t="s">
        <v>249</v>
      </c>
    </row>
    <row r="119">
      <c r="A119" s="3" t="s">
        <v>256</v>
      </c>
      <c r="B119" s="3" t="s">
        <v>257</v>
      </c>
      <c r="C119" s="2" t="s">
        <v>257</v>
      </c>
      <c r="D119" s="2">
        <v>25.0</v>
      </c>
      <c r="E119" s="2" t="s">
        <v>258</v>
      </c>
    </row>
    <row r="120">
      <c r="A120" s="3" t="s">
        <v>259</v>
      </c>
      <c r="B120" s="3" t="s">
        <v>260</v>
      </c>
      <c r="C120" s="2" t="s">
        <v>260</v>
      </c>
      <c r="D120" s="2">
        <v>13.0</v>
      </c>
      <c r="E120" s="2" t="s">
        <v>258</v>
      </c>
    </row>
    <row r="121">
      <c r="A121" s="3" t="s">
        <v>261</v>
      </c>
      <c r="B121" s="3" t="s">
        <v>262</v>
      </c>
      <c r="C121" s="2" t="s">
        <v>262</v>
      </c>
      <c r="D121" s="2">
        <v>16.0</v>
      </c>
      <c r="E121" s="2" t="s">
        <v>263</v>
      </c>
    </row>
    <row r="122">
      <c r="A122" s="3" t="s">
        <v>264</v>
      </c>
      <c r="B122" s="3" t="s">
        <v>265</v>
      </c>
      <c r="C122" s="2" t="s">
        <v>265</v>
      </c>
      <c r="D122" s="2">
        <v>4.0</v>
      </c>
      <c r="E122" s="2" t="s">
        <v>263</v>
      </c>
    </row>
    <row r="123">
      <c r="A123" s="3" t="s">
        <v>266</v>
      </c>
      <c r="B123" s="3" t="s">
        <v>267</v>
      </c>
      <c r="C123" s="2" t="s">
        <v>267</v>
      </c>
      <c r="D123" s="2">
        <v>4.0</v>
      </c>
      <c r="E123" s="2" t="s">
        <v>263</v>
      </c>
    </row>
    <row r="124">
      <c r="A124" s="3" t="s">
        <v>268</v>
      </c>
      <c r="B124" s="3" t="s">
        <v>269</v>
      </c>
      <c r="C124" s="2" t="s">
        <v>269</v>
      </c>
      <c r="D124" s="2">
        <v>4.0</v>
      </c>
      <c r="E124" s="2" t="s">
        <v>263</v>
      </c>
    </row>
    <row r="125">
      <c r="A125" s="3" t="s">
        <v>270</v>
      </c>
      <c r="B125" s="3" t="s">
        <v>271</v>
      </c>
      <c r="C125" s="2" t="s">
        <v>271</v>
      </c>
      <c r="D125" s="2">
        <v>16.0</v>
      </c>
      <c r="E125" s="2" t="s">
        <v>272</v>
      </c>
    </row>
    <row r="126">
      <c r="A126" s="3" t="s">
        <v>273</v>
      </c>
      <c r="B126" s="3" t="s">
        <v>274</v>
      </c>
      <c r="C126" s="2" t="s">
        <v>274</v>
      </c>
      <c r="D126" s="2">
        <v>16.0</v>
      </c>
      <c r="E126" s="2" t="s">
        <v>272</v>
      </c>
    </row>
    <row r="127">
      <c r="A127" s="3" t="s">
        <v>275</v>
      </c>
      <c r="B127" s="3" t="s">
        <v>276</v>
      </c>
      <c r="C127" s="2" t="s">
        <v>276</v>
      </c>
      <c r="D127" s="2">
        <v>16.0</v>
      </c>
      <c r="E127" s="2" t="s">
        <v>272</v>
      </c>
    </row>
    <row r="128">
      <c r="A128" s="3" t="s">
        <v>277</v>
      </c>
      <c r="B128" s="3" t="s">
        <v>278</v>
      </c>
      <c r="C128" s="2" t="s">
        <v>278</v>
      </c>
      <c r="D128" s="2">
        <v>23.0</v>
      </c>
      <c r="E128" s="2" t="s">
        <v>279</v>
      </c>
    </row>
    <row r="129">
      <c r="A129" s="3" t="s">
        <v>280</v>
      </c>
      <c r="B129" s="3" t="s">
        <v>281</v>
      </c>
      <c r="C129" s="2" t="s">
        <v>281</v>
      </c>
      <c r="D129" s="2">
        <v>22.0</v>
      </c>
      <c r="E129" s="2" t="s">
        <v>279</v>
      </c>
    </row>
    <row r="130">
      <c r="A130" s="3" t="s">
        <v>282</v>
      </c>
      <c r="B130" s="3" t="s">
        <v>283</v>
      </c>
      <c r="C130" s="2" t="s">
        <v>283</v>
      </c>
      <c r="D130" s="2">
        <v>24.0</v>
      </c>
      <c r="E130" s="2" t="s">
        <v>279</v>
      </c>
    </row>
    <row r="131">
      <c r="A131" s="3" t="s">
        <v>284</v>
      </c>
      <c r="B131" s="3" t="s">
        <v>285</v>
      </c>
      <c r="C131" s="2" t="s">
        <v>285</v>
      </c>
      <c r="D131" s="2">
        <v>18.0</v>
      </c>
      <c r="E131" s="2" t="s">
        <v>286</v>
      </c>
    </row>
    <row r="132">
      <c r="A132" s="3" t="s">
        <v>287</v>
      </c>
      <c r="B132" s="3" t="s">
        <v>285</v>
      </c>
      <c r="C132" s="2" t="s">
        <v>285</v>
      </c>
      <c r="D132" s="2">
        <v>18.0</v>
      </c>
      <c r="E132" s="2" t="s">
        <v>286</v>
      </c>
    </row>
    <row r="133">
      <c r="A133" s="3" t="s">
        <v>288</v>
      </c>
      <c r="B133" s="3" t="s">
        <v>285</v>
      </c>
      <c r="C133" s="2" t="s">
        <v>285</v>
      </c>
      <c r="D133" s="2">
        <v>18.0</v>
      </c>
      <c r="E133" s="2" t="s">
        <v>286</v>
      </c>
    </row>
    <row r="134">
      <c r="A134" s="3" t="s">
        <v>289</v>
      </c>
      <c r="B134" s="3" t="s">
        <v>290</v>
      </c>
      <c r="C134" s="2" t="s">
        <v>290</v>
      </c>
      <c r="D134" s="2">
        <v>16.0</v>
      </c>
      <c r="E134" s="2" t="s">
        <v>286</v>
      </c>
    </row>
    <row r="135">
      <c r="A135" s="3" t="s">
        <v>291</v>
      </c>
      <c r="B135" s="3" t="s">
        <v>292</v>
      </c>
      <c r="C135" s="2" t="s">
        <v>292</v>
      </c>
      <c r="D135" s="2">
        <v>12.0</v>
      </c>
      <c r="E135" s="2" t="s">
        <v>293</v>
      </c>
    </row>
    <row r="136">
      <c r="A136" s="3" t="s">
        <v>294</v>
      </c>
      <c r="B136" s="3" t="s">
        <v>295</v>
      </c>
      <c r="C136" s="2" t="s">
        <v>295</v>
      </c>
      <c r="D136" s="2">
        <v>18.0</v>
      </c>
      <c r="E136" s="2" t="s">
        <v>293</v>
      </c>
    </row>
    <row r="137">
      <c r="A137" s="3" t="s">
        <v>296</v>
      </c>
      <c r="B137" s="3" t="s">
        <v>297</v>
      </c>
      <c r="C137" s="2" t="s">
        <v>297</v>
      </c>
      <c r="D137" s="2">
        <v>5.0</v>
      </c>
      <c r="E137" s="2" t="s">
        <v>293</v>
      </c>
    </row>
    <row r="138">
      <c r="A138" s="3" t="s">
        <v>298</v>
      </c>
      <c r="B138" s="3" t="s">
        <v>299</v>
      </c>
      <c r="C138" s="2" t="s">
        <v>299</v>
      </c>
      <c r="D138" s="2">
        <v>8.0</v>
      </c>
      <c r="E138" s="2" t="s">
        <v>300</v>
      </c>
    </row>
    <row r="139">
      <c r="A139" s="3" t="s">
        <v>301</v>
      </c>
      <c r="B139" s="3" t="s">
        <v>302</v>
      </c>
      <c r="C139" s="2" t="s">
        <v>302</v>
      </c>
      <c r="D139" s="2">
        <v>8.0</v>
      </c>
      <c r="E139" s="2" t="s">
        <v>300</v>
      </c>
    </row>
    <row r="140">
      <c r="A140" s="3" t="s">
        <v>303</v>
      </c>
      <c r="B140" s="3" t="s">
        <v>304</v>
      </c>
      <c r="C140" s="2" t="s">
        <v>304</v>
      </c>
      <c r="D140" s="2">
        <v>8.0</v>
      </c>
      <c r="E140" s="2" t="s">
        <v>300</v>
      </c>
    </row>
    <row r="141">
      <c r="A141" s="3" t="s">
        <v>305</v>
      </c>
      <c r="B141" s="3" t="s">
        <v>306</v>
      </c>
      <c r="C141" s="2" t="s">
        <v>306</v>
      </c>
      <c r="D141" s="2">
        <v>21.0</v>
      </c>
      <c r="E141" s="2" t="s">
        <v>307</v>
      </c>
    </row>
    <row r="142">
      <c r="A142" s="3" t="s">
        <v>308</v>
      </c>
      <c r="B142" s="3" t="s">
        <v>309</v>
      </c>
      <c r="C142" s="2" t="s">
        <v>309</v>
      </c>
      <c r="D142" s="2">
        <v>18.0</v>
      </c>
      <c r="E142" s="2" t="s">
        <v>307</v>
      </c>
    </row>
    <row r="143">
      <c r="A143" s="3" t="s">
        <v>310</v>
      </c>
      <c r="B143" s="3" t="s">
        <v>311</v>
      </c>
      <c r="C143" s="2" t="s">
        <v>311</v>
      </c>
      <c r="D143" s="2">
        <v>1.0</v>
      </c>
      <c r="E143" s="2" t="s">
        <v>307</v>
      </c>
    </row>
    <row r="144">
      <c r="A144" s="3" t="s">
        <v>312</v>
      </c>
      <c r="B144" s="3" t="s">
        <v>313</v>
      </c>
      <c r="C144" s="2" t="s">
        <v>313</v>
      </c>
      <c r="D144" s="2">
        <v>6.0</v>
      </c>
      <c r="E144" s="2" t="s">
        <v>314</v>
      </c>
    </row>
    <row r="145">
      <c r="A145" s="3" t="s">
        <v>315</v>
      </c>
      <c r="B145" s="3" t="s">
        <v>316</v>
      </c>
      <c r="C145" s="2" t="s">
        <v>316</v>
      </c>
      <c r="D145" s="2">
        <v>4.0</v>
      </c>
      <c r="E145" s="2" t="s">
        <v>314</v>
      </c>
    </row>
    <row r="146">
      <c r="A146" s="3" t="s">
        <v>317</v>
      </c>
      <c r="B146" s="3" t="s">
        <v>318</v>
      </c>
      <c r="C146" s="2" t="s">
        <v>318</v>
      </c>
      <c r="D146" s="2">
        <v>5.0</v>
      </c>
      <c r="E146" s="2" t="s">
        <v>314</v>
      </c>
    </row>
    <row r="147">
      <c r="A147" s="3" t="s">
        <v>319</v>
      </c>
      <c r="B147" s="3" t="s">
        <v>320</v>
      </c>
      <c r="C147" s="2" t="s">
        <v>320</v>
      </c>
      <c r="D147" s="2">
        <v>1.0</v>
      </c>
      <c r="E147" s="2" t="s">
        <v>314</v>
      </c>
    </row>
    <row r="148">
      <c r="A148" s="3" t="s">
        <v>321</v>
      </c>
      <c r="B148" s="3" t="s">
        <v>111</v>
      </c>
      <c r="C148" s="2" t="s">
        <v>111</v>
      </c>
      <c r="D148" s="2">
        <v>20.0</v>
      </c>
      <c r="E148" s="2" t="s">
        <v>322</v>
      </c>
    </row>
    <row r="149">
      <c r="A149" s="3" t="s">
        <v>323</v>
      </c>
      <c r="B149" s="3" t="s">
        <v>324</v>
      </c>
      <c r="C149" s="2" t="s">
        <v>324</v>
      </c>
      <c r="D149" s="2">
        <v>8.0</v>
      </c>
      <c r="E149" s="2" t="s">
        <v>322</v>
      </c>
    </row>
    <row r="150">
      <c r="A150" s="3" t="s">
        <v>325</v>
      </c>
      <c r="B150" s="3" t="s">
        <v>326</v>
      </c>
      <c r="C150" s="2" t="s">
        <v>326</v>
      </c>
      <c r="D150" s="2">
        <v>9.0</v>
      </c>
      <c r="E150" s="2" t="s">
        <v>322</v>
      </c>
    </row>
    <row r="151">
      <c r="A151" s="3" t="s">
        <v>327</v>
      </c>
      <c r="B151" s="3" t="s">
        <v>328</v>
      </c>
      <c r="C151" s="2" t="s">
        <v>328</v>
      </c>
      <c r="D151" s="2">
        <v>9.0</v>
      </c>
      <c r="E151" s="2" t="s">
        <v>322</v>
      </c>
    </row>
    <row r="152">
      <c r="A152" s="3" t="s">
        <v>329</v>
      </c>
      <c r="B152" s="3" t="s">
        <v>78</v>
      </c>
      <c r="C152" s="2" t="s">
        <v>78</v>
      </c>
      <c r="D152" s="2">
        <v>15.0</v>
      </c>
      <c r="E152" s="2" t="s">
        <v>330</v>
      </c>
    </row>
    <row r="153">
      <c r="A153" s="3" t="s">
        <v>331</v>
      </c>
      <c r="B153" s="3" t="s">
        <v>332</v>
      </c>
      <c r="C153" s="2" t="s">
        <v>332</v>
      </c>
      <c r="D153" s="2">
        <v>7.0</v>
      </c>
      <c r="E153" s="2" t="s">
        <v>330</v>
      </c>
    </row>
    <row r="154">
      <c r="A154" s="3" t="s">
        <v>333</v>
      </c>
      <c r="B154" s="3" t="s">
        <v>334</v>
      </c>
      <c r="C154" s="2" t="s">
        <v>334</v>
      </c>
      <c r="D154" s="2">
        <v>7.0</v>
      </c>
      <c r="E154" s="2" t="s">
        <v>330</v>
      </c>
    </row>
    <row r="155">
      <c r="A155" s="3" t="s">
        <v>335</v>
      </c>
      <c r="B155" s="3" t="s">
        <v>336</v>
      </c>
      <c r="C155" s="2" t="s">
        <v>336</v>
      </c>
      <c r="D155" s="2">
        <v>7.0</v>
      </c>
      <c r="E155" s="2" t="s">
        <v>330</v>
      </c>
    </row>
    <row r="156">
      <c r="A156" s="3" t="s">
        <v>337</v>
      </c>
      <c r="B156" s="3" t="s">
        <v>175</v>
      </c>
      <c r="C156" s="2" t="s">
        <v>175</v>
      </c>
      <c r="D156" s="2">
        <v>8.0</v>
      </c>
      <c r="E156" s="2" t="s">
        <v>330</v>
      </c>
    </row>
    <row r="157">
      <c r="A157" s="3" t="s">
        <v>338</v>
      </c>
      <c r="B157" s="3" t="s">
        <v>339</v>
      </c>
      <c r="C157" s="2" t="s">
        <v>339</v>
      </c>
      <c r="D157" s="2">
        <v>19.0</v>
      </c>
      <c r="E157" s="2" t="s">
        <v>340</v>
      </c>
    </row>
    <row r="158">
      <c r="A158" s="3" t="s">
        <v>341</v>
      </c>
      <c r="B158" s="3" t="s">
        <v>342</v>
      </c>
      <c r="C158" s="2" t="s">
        <v>342</v>
      </c>
      <c r="D158" s="2">
        <v>17.0</v>
      </c>
      <c r="E158" s="2" t="s">
        <v>340</v>
      </c>
    </row>
    <row r="159">
      <c r="A159" s="3" t="s">
        <v>343</v>
      </c>
      <c r="B159" s="3" t="s">
        <v>344</v>
      </c>
      <c r="C159" s="2" t="s">
        <v>344</v>
      </c>
      <c r="D159" s="2">
        <v>13.0</v>
      </c>
      <c r="E159" s="2" t="s">
        <v>340</v>
      </c>
    </row>
    <row r="160">
      <c r="A160" s="3" t="s">
        <v>345</v>
      </c>
      <c r="B160" s="3" t="s">
        <v>203</v>
      </c>
      <c r="C160" s="2" t="s">
        <v>203</v>
      </c>
      <c r="D160" s="2">
        <v>10.0</v>
      </c>
      <c r="E160" s="2" t="s">
        <v>346</v>
      </c>
    </row>
    <row r="161">
      <c r="A161" s="3" t="s">
        <v>347</v>
      </c>
      <c r="B161" s="3" t="s">
        <v>226</v>
      </c>
      <c r="C161" s="2" t="s">
        <v>226</v>
      </c>
      <c r="D161" s="2">
        <v>15.0</v>
      </c>
      <c r="E161" s="2" t="s">
        <v>346</v>
      </c>
    </row>
    <row r="162">
      <c r="A162" s="3" t="s">
        <v>348</v>
      </c>
      <c r="B162" s="3" t="s">
        <v>349</v>
      </c>
      <c r="C162" s="2" t="s">
        <v>349</v>
      </c>
      <c r="D162" s="2">
        <v>10.0</v>
      </c>
      <c r="E162" s="2" t="s">
        <v>350</v>
      </c>
    </row>
    <row r="163">
      <c r="A163" s="3" t="s">
        <v>351</v>
      </c>
      <c r="B163" s="3" t="s">
        <v>352</v>
      </c>
      <c r="C163" s="2" t="s">
        <v>352</v>
      </c>
      <c r="D163" s="2">
        <v>10.0</v>
      </c>
      <c r="E163" s="2" t="s">
        <v>350</v>
      </c>
    </row>
    <row r="164">
      <c r="A164" s="3" t="s">
        <v>353</v>
      </c>
      <c r="B164" s="3" t="s">
        <v>354</v>
      </c>
      <c r="C164" s="2" t="s">
        <v>354</v>
      </c>
      <c r="D164" s="2">
        <v>10.0</v>
      </c>
      <c r="E164" s="2" t="s">
        <v>350</v>
      </c>
    </row>
    <row r="165">
      <c r="A165" s="3" t="s">
        <v>355</v>
      </c>
      <c r="B165" s="3" t="s">
        <v>93</v>
      </c>
      <c r="C165" s="2" t="s">
        <v>93</v>
      </c>
      <c r="D165" s="2">
        <v>15.0</v>
      </c>
      <c r="E165" s="2" t="s">
        <v>350</v>
      </c>
    </row>
    <row r="166">
      <c r="A166" s="3" t="s">
        <v>356</v>
      </c>
      <c r="B166" s="3" t="s">
        <v>357</v>
      </c>
      <c r="C166" s="2" t="s">
        <v>357</v>
      </c>
      <c r="D166" s="2">
        <v>25.0</v>
      </c>
      <c r="E166" s="2" t="s">
        <v>358</v>
      </c>
    </row>
    <row r="167">
      <c r="A167" s="3" t="s">
        <v>359</v>
      </c>
      <c r="B167" s="3" t="s">
        <v>360</v>
      </c>
      <c r="C167" s="2" t="s">
        <v>360</v>
      </c>
      <c r="D167" s="2">
        <v>10.0</v>
      </c>
      <c r="E167" s="2" t="s">
        <v>358</v>
      </c>
    </row>
    <row r="168">
      <c r="A168" s="3" t="s">
        <v>361</v>
      </c>
      <c r="B168" s="3" t="s">
        <v>360</v>
      </c>
      <c r="C168" s="2" t="s">
        <v>360</v>
      </c>
      <c r="D168" s="2">
        <v>10.0</v>
      </c>
      <c r="E168" s="2" t="s">
        <v>358</v>
      </c>
    </row>
    <row r="169">
      <c r="A169" s="3" t="s">
        <v>362</v>
      </c>
      <c r="B169" s="3" t="s">
        <v>226</v>
      </c>
      <c r="C169" s="2" t="s">
        <v>226</v>
      </c>
      <c r="D169" s="2">
        <v>15.0</v>
      </c>
      <c r="E169" s="2" t="s">
        <v>358</v>
      </c>
    </row>
    <row r="170">
      <c r="A170" s="3" t="s">
        <v>363</v>
      </c>
      <c r="B170" s="3" t="s">
        <v>364</v>
      </c>
      <c r="C170" s="2" t="s">
        <v>364</v>
      </c>
      <c r="D170" s="2">
        <v>8.0</v>
      </c>
      <c r="E170" s="2" t="s">
        <v>365</v>
      </c>
    </row>
    <row r="171">
      <c r="A171" s="3" t="s">
        <v>366</v>
      </c>
      <c r="B171" s="3" t="s">
        <v>367</v>
      </c>
      <c r="C171" s="2" t="s">
        <v>367</v>
      </c>
      <c r="D171" s="2">
        <v>32.0</v>
      </c>
      <c r="E171" s="2" t="s">
        <v>365</v>
      </c>
    </row>
    <row r="172">
      <c r="A172" s="3" t="s">
        <v>368</v>
      </c>
      <c r="B172" s="3" t="s">
        <v>76</v>
      </c>
      <c r="C172" s="2" t="s">
        <v>76</v>
      </c>
      <c r="D172" s="2">
        <v>8.0</v>
      </c>
      <c r="E172" s="2" t="s">
        <v>365</v>
      </c>
    </row>
    <row r="173">
      <c r="A173" s="3" t="s">
        <v>369</v>
      </c>
      <c r="B173" s="3" t="s">
        <v>370</v>
      </c>
      <c r="C173" s="2" t="s">
        <v>370</v>
      </c>
      <c r="D173" s="2">
        <v>12.0</v>
      </c>
      <c r="E173" s="2" t="s">
        <v>371</v>
      </c>
    </row>
    <row r="174">
      <c r="A174" s="3" t="s">
        <v>372</v>
      </c>
      <c r="B174" s="3" t="s">
        <v>69</v>
      </c>
      <c r="C174" s="2" t="s">
        <v>69</v>
      </c>
      <c r="D174" s="2">
        <v>16.0</v>
      </c>
      <c r="E174" s="2" t="s">
        <v>371</v>
      </c>
    </row>
    <row r="175">
      <c r="A175" s="3" t="s">
        <v>373</v>
      </c>
      <c r="B175" s="3" t="s">
        <v>374</v>
      </c>
      <c r="C175" s="2" t="s">
        <v>374</v>
      </c>
      <c r="D175" s="2">
        <v>20.0</v>
      </c>
      <c r="E175" s="2" t="s">
        <v>371</v>
      </c>
    </row>
    <row r="176">
      <c r="A176" s="3" t="s">
        <v>375</v>
      </c>
      <c r="B176" s="3" t="s">
        <v>376</v>
      </c>
      <c r="C176" s="2" t="s">
        <v>376</v>
      </c>
      <c r="D176" s="2">
        <v>3.0</v>
      </c>
      <c r="E176" s="2" t="s">
        <v>377</v>
      </c>
    </row>
    <row r="177">
      <c r="A177" s="3" t="s">
        <v>378</v>
      </c>
      <c r="B177" s="3" t="s">
        <v>379</v>
      </c>
      <c r="C177" s="2" t="s">
        <v>379</v>
      </c>
      <c r="D177" s="2">
        <v>3.0</v>
      </c>
      <c r="E177" s="2" t="s">
        <v>377</v>
      </c>
    </row>
    <row r="178">
      <c r="A178" s="3" t="s">
        <v>380</v>
      </c>
      <c r="B178" s="3" t="s">
        <v>381</v>
      </c>
      <c r="C178" s="2" t="s">
        <v>381</v>
      </c>
      <c r="D178" s="2">
        <v>3.0</v>
      </c>
      <c r="E178" s="2" t="s">
        <v>377</v>
      </c>
    </row>
    <row r="179">
      <c r="A179" s="3" t="s">
        <v>382</v>
      </c>
      <c r="B179" s="3" t="s">
        <v>383</v>
      </c>
      <c r="C179" s="2" t="s">
        <v>383</v>
      </c>
      <c r="D179" s="2">
        <v>1.0</v>
      </c>
      <c r="E179" s="2" t="s">
        <v>377</v>
      </c>
    </row>
    <row r="180">
      <c r="A180" s="3" t="s">
        <v>384</v>
      </c>
      <c r="B180" s="3" t="s">
        <v>111</v>
      </c>
      <c r="C180" s="2" t="s">
        <v>111</v>
      </c>
      <c r="D180" s="2">
        <v>20.0</v>
      </c>
      <c r="E180" s="2" t="s">
        <v>377</v>
      </c>
    </row>
    <row r="181">
      <c r="A181" s="3" t="s">
        <v>385</v>
      </c>
      <c r="B181" s="3" t="s">
        <v>93</v>
      </c>
      <c r="C181" s="2" t="s">
        <v>93</v>
      </c>
      <c r="D181" s="2">
        <v>15.0</v>
      </c>
      <c r="E181" s="2" t="s">
        <v>386</v>
      </c>
    </row>
    <row r="182">
      <c r="A182" s="3" t="s">
        <v>387</v>
      </c>
      <c r="B182" s="3" t="s">
        <v>388</v>
      </c>
      <c r="C182" s="2" t="s">
        <v>388</v>
      </c>
      <c r="D182" s="2">
        <v>4.0</v>
      </c>
      <c r="E182" s="2" t="s">
        <v>386</v>
      </c>
    </row>
    <row r="183">
      <c r="A183" s="3" t="s">
        <v>389</v>
      </c>
      <c r="B183" s="3" t="s">
        <v>390</v>
      </c>
      <c r="C183" s="2" t="s">
        <v>390</v>
      </c>
      <c r="D183" s="2">
        <v>4.0</v>
      </c>
      <c r="E183" s="2" t="s">
        <v>386</v>
      </c>
    </row>
    <row r="184">
      <c r="A184" s="3" t="s">
        <v>391</v>
      </c>
      <c r="B184" s="3" t="s">
        <v>392</v>
      </c>
      <c r="C184" s="2" t="s">
        <v>392</v>
      </c>
      <c r="D184" s="2">
        <v>4.0</v>
      </c>
      <c r="E184" s="2" t="s">
        <v>386</v>
      </c>
    </row>
    <row r="185">
      <c r="A185" s="3" t="s">
        <v>393</v>
      </c>
      <c r="B185" s="3" t="s">
        <v>394</v>
      </c>
      <c r="C185" s="2" t="s">
        <v>394</v>
      </c>
      <c r="D185" s="2">
        <v>7.0</v>
      </c>
      <c r="E185" s="2" t="s">
        <v>386</v>
      </c>
    </row>
    <row r="186">
      <c r="A186" s="3" t="s">
        <v>395</v>
      </c>
      <c r="B186" s="3" t="s">
        <v>396</v>
      </c>
      <c r="C186" s="2" t="s">
        <v>396</v>
      </c>
      <c r="D186" s="2">
        <v>16.0</v>
      </c>
      <c r="E186" s="2" t="s">
        <v>397</v>
      </c>
    </row>
    <row r="187">
      <c r="A187" s="3" t="s">
        <v>398</v>
      </c>
      <c r="B187" s="3" t="s">
        <v>399</v>
      </c>
      <c r="C187" s="2" t="s">
        <v>399</v>
      </c>
      <c r="D187" s="2">
        <v>25.0</v>
      </c>
      <c r="E187" s="2" t="s">
        <v>397</v>
      </c>
    </row>
    <row r="188">
      <c r="A188" s="3" t="s">
        <v>400</v>
      </c>
      <c r="B188" s="3" t="s">
        <v>283</v>
      </c>
      <c r="C188" s="2" t="s">
        <v>283</v>
      </c>
      <c r="D188" s="2">
        <v>24.0</v>
      </c>
      <c r="E188" s="2" t="s">
        <v>401</v>
      </c>
    </row>
    <row r="189">
      <c r="A189" s="3" t="s">
        <v>402</v>
      </c>
      <c r="B189" s="3" t="s">
        <v>203</v>
      </c>
      <c r="C189" s="2" t="s">
        <v>203</v>
      </c>
      <c r="D189" s="2">
        <v>10.0</v>
      </c>
      <c r="E189" s="2" t="s">
        <v>401</v>
      </c>
    </row>
    <row r="190">
      <c r="A190" s="3" t="s">
        <v>403</v>
      </c>
      <c r="B190" s="3" t="s">
        <v>404</v>
      </c>
      <c r="C190" s="2" t="s">
        <v>404</v>
      </c>
      <c r="D190" s="2">
        <v>9.0</v>
      </c>
      <c r="E190" s="2" t="s">
        <v>405</v>
      </c>
    </row>
    <row r="191">
      <c r="A191" s="3" t="s">
        <v>406</v>
      </c>
      <c r="B191" s="3" t="s">
        <v>407</v>
      </c>
      <c r="C191" s="2" t="s">
        <v>407</v>
      </c>
      <c r="D191" s="2">
        <v>9.0</v>
      </c>
      <c r="E191" s="2" t="s">
        <v>405</v>
      </c>
    </row>
    <row r="192">
      <c r="A192" s="3" t="s">
        <v>408</v>
      </c>
      <c r="B192" s="3" t="s">
        <v>29</v>
      </c>
      <c r="C192" s="2" t="s">
        <v>29</v>
      </c>
      <c r="D192" s="2">
        <v>5.0</v>
      </c>
      <c r="E192" s="2" t="s">
        <v>405</v>
      </c>
    </row>
    <row r="193">
      <c r="A193" s="3" t="s">
        <v>409</v>
      </c>
      <c r="B193" s="3" t="s">
        <v>410</v>
      </c>
      <c r="C193" s="2" t="s">
        <v>410</v>
      </c>
      <c r="D193" s="2">
        <v>12.0</v>
      </c>
      <c r="E193" s="2" t="s">
        <v>411</v>
      </c>
    </row>
    <row r="194">
      <c r="A194" s="3" t="s">
        <v>412</v>
      </c>
      <c r="B194" s="3" t="s">
        <v>413</v>
      </c>
      <c r="C194" s="2" t="s">
        <v>413</v>
      </c>
      <c r="D194" s="2">
        <v>14.0</v>
      </c>
      <c r="E194" s="2" t="s">
        <v>411</v>
      </c>
    </row>
    <row r="195">
      <c r="A195" s="3" t="s">
        <v>414</v>
      </c>
      <c r="B195" s="3" t="s">
        <v>415</v>
      </c>
      <c r="C195" s="2" t="s">
        <v>415</v>
      </c>
      <c r="D195" s="2">
        <v>26.0</v>
      </c>
      <c r="E195" s="2" t="s">
        <v>411</v>
      </c>
    </row>
    <row r="196">
      <c r="A196" s="3" t="s">
        <v>416</v>
      </c>
      <c r="B196" s="3" t="s">
        <v>320</v>
      </c>
      <c r="C196" s="2" t="s">
        <v>320</v>
      </c>
      <c r="D196" s="2">
        <v>1.0</v>
      </c>
      <c r="E196" s="2" t="s">
        <v>411</v>
      </c>
    </row>
    <row r="197">
      <c r="A197" s="3" t="s">
        <v>417</v>
      </c>
      <c r="B197" s="3" t="s">
        <v>418</v>
      </c>
      <c r="C197" s="2" t="s">
        <v>418</v>
      </c>
      <c r="D197" s="2">
        <v>10.0</v>
      </c>
      <c r="E197" s="2" t="s">
        <v>411</v>
      </c>
    </row>
    <row r="198">
      <c r="A198" s="3" t="s">
        <v>419</v>
      </c>
      <c r="B198" s="3" t="s">
        <v>420</v>
      </c>
      <c r="C198" s="2" t="s">
        <v>420</v>
      </c>
      <c r="D198" s="2">
        <v>15.0</v>
      </c>
      <c r="E198" s="2" t="s">
        <v>421</v>
      </c>
    </row>
    <row r="199">
      <c r="A199" s="3" t="s">
        <v>422</v>
      </c>
      <c r="B199" s="3" t="s">
        <v>423</v>
      </c>
      <c r="C199" s="2" t="s">
        <v>423</v>
      </c>
      <c r="D199" s="2">
        <v>16.0</v>
      </c>
      <c r="E199" s="2" t="s">
        <v>421</v>
      </c>
    </row>
    <row r="200">
      <c r="A200" s="3" t="s">
        <v>424</v>
      </c>
      <c r="B200" s="3" t="s">
        <v>182</v>
      </c>
      <c r="C200" s="2" t="s">
        <v>182</v>
      </c>
      <c r="D200" s="2">
        <v>20.0</v>
      </c>
      <c r="E200" s="2" t="s">
        <v>425</v>
      </c>
    </row>
    <row r="201">
      <c r="A201" s="3" t="s">
        <v>426</v>
      </c>
      <c r="B201" s="3" t="s">
        <v>427</v>
      </c>
      <c r="C201" s="2" t="s">
        <v>427</v>
      </c>
      <c r="D201" s="2">
        <v>19.0</v>
      </c>
      <c r="E201" s="2" t="s">
        <v>425</v>
      </c>
    </row>
    <row r="202">
      <c r="A202" s="3" t="s">
        <v>428</v>
      </c>
      <c r="B202" s="3" t="s">
        <v>429</v>
      </c>
      <c r="C202" s="2" t="s">
        <v>429</v>
      </c>
      <c r="D202" s="2">
        <v>8.0</v>
      </c>
      <c r="E202" s="2" t="s">
        <v>425</v>
      </c>
    </row>
    <row r="203">
      <c r="A203" s="3" t="s">
        <v>430</v>
      </c>
      <c r="B203" s="3" t="s">
        <v>429</v>
      </c>
      <c r="C203" s="2" t="s">
        <v>429</v>
      </c>
      <c r="D203" s="2">
        <v>8.0</v>
      </c>
      <c r="E203" s="2" t="s">
        <v>425</v>
      </c>
    </row>
    <row r="204">
      <c r="A204" s="3" t="s">
        <v>431</v>
      </c>
      <c r="B204" s="3" t="s">
        <v>429</v>
      </c>
      <c r="C204" s="2" t="s">
        <v>429</v>
      </c>
      <c r="D204" s="2">
        <v>8.0</v>
      </c>
      <c r="E204" s="2" t="s">
        <v>425</v>
      </c>
    </row>
    <row r="205">
      <c r="A205" s="3" t="s">
        <v>432</v>
      </c>
      <c r="B205" s="3" t="s">
        <v>420</v>
      </c>
      <c r="C205" s="2" t="s">
        <v>420</v>
      </c>
      <c r="D205" s="2">
        <v>15.0</v>
      </c>
      <c r="E205" s="2" t="s">
        <v>425</v>
      </c>
    </row>
    <row r="206">
      <c r="A206" s="3" t="s">
        <v>433</v>
      </c>
      <c r="B206" s="3" t="s">
        <v>434</v>
      </c>
      <c r="C206" s="2" t="s">
        <v>434</v>
      </c>
      <c r="D206" s="2">
        <v>18.0</v>
      </c>
      <c r="E206" s="2" t="s">
        <v>425</v>
      </c>
    </row>
    <row r="207">
      <c r="A207" s="3" t="s">
        <v>435</v>
      </c>
      <c r="B207" s="3" t="s">
        <v>93</v>
      </c>
      <c r="C207" s="2" t="s">
        <v>93</v>
      </c>
      <c r="D207" s="2">
        <v>15.0</v>
      </c>
      <c r="E207" s="2" t="s">
        <v>436</v>
      </c>
    </row>
    <row r="208">
      <c r="A208" s="3" t="s">
        <v>437</v>
      </c>
      <c r="B208" s="3" t="s">
        <v>438</v>
      </c>
      <c r="C208" s="2" t="s">
        <v>438</v>
      </c>
      <c r="D208" s="2">
        <v>9.0</v>
      </c>
      <c r="E208" s="2" t="s">
        <v>436</v>
      </c>
    </row>
    <row r="209">
      <c r="A209" s="3" t="s">
        <v>439</v>
      </c>
      <c r="B209" s="3" t="s">
        <v>440</v>
      </c>
      <c r="C209" s="2" t="s">
        <v>440</v>
      </c>
      <c r="D209" s="2">
        <v>7.0</v>
      </c>
      <c r="E209" s="2" t="s">
        <v>436</v>
      </c>
    </row>
    <row r="210">
      <c r="A210" s="3" t="s">
        <v>441</v>
      </c>
      <c r="B210" s="3" t="s">
        <v>442</v>
      </c>
      <c r="C210" s="2" t="s">
        <v>442</v>
      </c>
      <c r="D210" s="2">
        <v>16.0</v>
      </c>
      <c r="E210" s="2" t="s">
        <v>436</v>
      </c>
    </row>
    <row r="211">
      <c r="A211" s="3" t="s">
        <v>443</v>
      </c>
      <c r="B211" s="3" t="s">
        <v>255</v>
      </c>
      <c r="C211" s="2" t="s">
        <v>255</v>
      </c>
      <c r="D211" s="2">
        <v>10.0</v>
      </c>
      <c r="E211" s="2" t="s">
        <v>444</v>
      </c>
    </row>
    <row r="212">
      <c r="A212" s="3" t="s">
        <v>445</v>
      </c>
      <c r="B212" s="3" t="s">
        <v>446</v>
      </c>
      <c r="C212" s="2" t="s">
        <v>446</v>
      </c>
      <c r="D212" s="2">
        <v>16.0</v>
      </c>
      <c r="E212" s="2" t="s">
        <v>444</v>
      </c>
    </row>
    <row r="213">
      <c r="A213" s="3" t="s">
        <v>447</v>
      </c>
      <c r="B213" s="3" t="s">
        <v>448</v>
      </c>
      <c r="C213" s="2" t="s">
        <v>448</v>
      </c>
      <c r="D213" s="2">
        <v>16.0</v>
      </c>
      <c r="E213" s="2" t="s">
        <v>444</v>
      </c>
    </row>
    <row r="214">
      <c r="A214" s="3" t="s">
        <v>449</v>
      </c>
      <c r="B214" s="3" t="s">
        <v>450</v>
      </c>
      <c r="C214" s="2" t="s">
        <v>450</v>
      </c>
      <c r="D214" s="2">
        <v>16.0</v>
      </c>
      <c r="E214" s="2" t="s">
        <v>444</v>
      </c>
    </row>
    <row r="215">
      <c r="A215" s="3" t="s">
        <v>451</v>
      </c>
      <c r="B215" s="3" t="s">
        <v>27</v>
      </c>
      <c r="C215" s="2" t="s">
        <v>27</v>
      </c>
      <c r="D215" s="2">
        <v>2.0</v>
      </c>
      <c r="E215" s="2" t="s">
        <v>444</v>
      </c>
    </row>
    <row r="216">
      <c r="A216" s="3" t="s">
        <v>452</v>
      </c>
      <c r="B216" s="3" t="s">
        <v>453</v>
      </c>
      <c r="C216" s="2" t="s">
        <v>453</v>
      </c>
      <c r="D216" s="2">
        <v>16.0</v>
      </c>
      <c r="E216" s="2" t="s">
        <v>454</v>
      </c>
    </row>
    <row r="217">
      <c r="A217" s="3" t="s">
        <v>455</v>
      </c>
      <c r="B217" s="3" t="s">
        <v>456</v>
      </c>
      <c r="C217" s="2" t="s">
        <v>456</v>
      </c>
      <c r="D217" s="2">
        <v>16.0</v>
      </c>
      <c r="E217" s="2" t="s">
        <v>454</v>
      </c>
    </row>
    <row r="218">
      <c r="A218" s="3" t="s">
        <v>457</v>
      </c>
      <c r="B218" s="3" t="s">
        <v>458</v>
      </c>
      <c r="C218" s="2" t="s">
        <v>458</v>
      </c>
      <c r="D218" s="2">
        <v>16.0</v>
      </c>
      <c r="E218" s="2" t="s">
        <v>454</v>
      </c>
    </row>
    <row r="219">
      <c r="A219" s="3" t="s">
        <v>459</v>
      </c>
      <c r="B219" s="3" t="s">
        <v>460</v>
      </c>
      <c r="C219" s="2" t="s">
        <v>460</v>
      </c>
      <c r="D219" s="2">
        <v>15.0</v>
      </c>
      <c r="E219" s="2" t="s">
        <v>461</v>
      </c>
    </row>
    <row r="220">
      <c r="A220" s="3" t="s">
        <v>462</v>
      </c>
      <c r="B220" s="3" t="s">
        <v>463</v>
      </c>
      <c r="C220" s="2" t="s">
        <v>463</v>
      </c>
      <c r="D220" s="2">
        <v>10.0</v>
      </c>
      <c r="E220" s="2" t="s">
        <v>461</v>
      </c>
    </row>
    <row r="221">
      <c r="A221" s="3" t="s">
        <v>464</v>
      </c>
      <c r="B221" s="3" t="s">
        <v>465</v>
      </c>
      <c r="C221" s="2" t="s">
        <v>465</v>
      </c>
      <c r="D221" s="2">
        <v>10.0</v>
      </c>
      <c r="E221" s="2" t="s">
        <v>461</v>
      </c>
    </row>
    <row r="222">
      <c r="A222" s="3" t="s">
        <v>466</v>
      </c>
      <c r="B222" s="3" t="s">
        <v>255</v>
      </c>
      <c r="C222" s="2" t="s">
        <v>255</v>
      </c>
      <c r="D222" s="2">
        <v>10.0</v>
      </c>
      <c r="E222" s="2" t="s">
        <v>461</v>
      </c>
    </row>
    <row r="223">
      <c r="A223" s="3" t="s">
        <v>467</v>
      </c>
      <c r="B223" s="3" t="s">
        <v>468</v>
      </c>
      <c r="C223" s="2" t="s">
        <v>468</v>
      </c>
      <c r="D223" s="2">
        <v>10.0</v>
      </c>
      <c r="E223" s="2" t="s">
        <v>469</v>
      </c>
    </row>
    <row r="224">
      <c r="A224" s="3" t="s">
        <v>470</v>
      </c>
      <c r="B224" s="3" t="s">
        <v>471</v>
      </c>
      <c r="C224" s="2" t="s">
        <v>471</v>
      </c>
      <c r="D224" s="2">
        <v>7.0</v>
      </c>
      <c r="E224" s="2" t="s">
        <v>469</v>
      </c>
    </row>
    <row r="225">
      <c r="A225" s="3" t="s">
        <v>472</v>
      </c>
      <c r="B225" s="3" t="s">
        <v>473</v>
      </c>
      <c r="C225" s="2" t="s">
        <v>473</v>
      </c>
      <c r="D225" s="2">
        <v>10.0</v>
      </c>
      <c r="E225" s="2" t="s">
        <v>469</v>
      </c>
    </row>
    <row r="226">
      <c r="A226" s="3" t="s">
        <v>474</v>
      </c>
      <c r="B226" s="3" t="s">
        <v>475</v>
      </c>
      <c r="C226" s="2" t="s">
        <v>475</v>
      </c>
      <c r="D226" s="2">
        <v>2.0</v>
      </c>
      <c r="E226" s="2" t="s">
        <v>469</v>
      </c>
    </row>
    <row r="227">
      <c r="A227" s="3" t="s">
        <v>476</v>
      </c>
      <c r="B227" s="3" t="s">
        <v>477</v>
      </c>
      <c r="C227" s="2" t="s">
        <v>477</v>
      </c>
      <c r="D227" s="2">
        <v>2.0</v>
      </c>
      <c r="E227" s="2" t="s">
        <v>469</v>
      </c>
    </row>
    <row r="228">
      <c r="A228" s="3" t="s">
        <v>478</v>
      </c>
      <c r="B228" s="3" t="s">
        <v>29</v>
      </c>
      <c r="C228" s="2" t="s">
        <v>29</v>
      </c>
      <c r="D228" s="2">
        <v>5.0</v>
      </c>
      <c r="E228" s="2" t="s">
        <v>479</v>
      </c>
    </row>
    <row r="229">
      <c r="A229" s="3" t="s">
        <v>480</v>
      </c>
      <c r="B229" s="3" t="s">
        <v>481</v>
      </c>
      <c r="C229" s="2" t="s">
        <v>481</v>
      </c>
      <c r="D229" s="2">
        <v>4.0</v>
      </c>
      <c r="E229" s="2" t="s">
        <v>479</v>
      </c>
    </row>
    <row r="230">
      <c r="A230" s="3" t="s">
        <v>482</v>
      </c>
      <c r="B230" s="3" t="s">
        <v>109</v>
      </c>
      <c r="C230" s="2" t="s">
        <v>109</v>
      </c>
      <c r="D230" s="2">
        <v>4.0</v>
      </c>
      <c r="E230" s="2" t="s">
        <v>479</v>
      </c>
    </row>
    <row r="231">
      <c r="A231" s="3" t="s">
        <v>483</v>
      </c>
      <c r="B231" s="3" t="s">
        <v>484</v>
      </c>
      <c r="C231" s="2" t="s">
        <v>484</v>
      </c>
      <c r="D231" s="2">
        <v>4.0</v>
      </c>
      <c r="E231" s="2" t="s">
        <v>479</v>
      </c>
    </row>
    <row r="232">
      <c r="A232" s="3" t="s">
        <v>485</v>
      </c>
      <c r="B232" s="3" t="s">
        <v>486</v>
      </c>
      <c r="C232" s="2" t="s">
        <v>486</v>
      </c>
      <c r="D232" s="2">
        <v>2.0</v>
      </c>
      <c r="E232" s="2" t="s">
        <v>479</v>
      </c>
    </row>
    <row r="233">
      <c r="A233" s="3" t="s">
        <v>487</v>
      </c>
      <c r="B233" s="3" t="s">
        <v>488</v>
      </c>
      <c r="C233" s="2" t="s">
        <v>488</v>
      </c>
      <c r="D233" s="2">
        <v>16.0</v>
      </c>
      <c r="E233" s="2" t="s">
        <v>479</v>
      </c>
    </row>
    <row r="234">
      <c r="A234" s="3" t="s">
        <v>489</v>
      </c>
      <c r="B234" s="3" t="s">
        <v>29</v>
      </c>
      <c r="C234" s="2" t="s">
        <v>29</v>
      </c>
      <c r="D234" s="2">
        <v>5.0</v>
      </c>
      <c r="E234" s="2" t="s">
        <v>490</v>
      </c>
    </row>
    <row r="235">
      <c r="A235" s="3" t="s">
        <v>491</v>
      </c>
      <c r="B235" s="3" t="s">
        <v>203</v>
      </c>
      <c r="C235" s="2" t="s">
        <v>203</v>
      </c>
      <c r="D235" s="2">
        <v>10.0</v>
      </c>
      <c r="E235" s="2" t="s">
        <v>490</v>
      </c>
    </row>
    <row r="236">
      <c r="A236" s="3" t="s">
        <v>492</v>
      </c>
      <c r="B236" s="3" t="s">
        <v>493</v>
      </c>
      <c r="C236" s="2" t="s">
        <v>493</v>
      </c>
      <c r="D236" s="2">
        <v>5.0</v>
      </c>
      <c r="E236" s="2" t="s">
        <v>490</v>
      </c>
    </row>
    <row r="237">
      <c r="A237" s="3" t="s">
        <v>494</v>
      </c>
      <c r="B237" s="3" t="s">
        <v>318</v>
      </c>
      <c r="C237" s="2" t="s">
        <v>318</v>
      </c>
      <c r="D237" s="2">
        <v>5.0</v>
      </c>
      <c r="E237" s="2" t="s">
        <v>490</v>
      </c>
    </row>
    <row r="238">
      <c r="A238" s="3" t="s">
        <v>495</v>
      </c>
      <c r="B238" s="3" t="s">
        <v>211</v>
      </c>
      <c r="C238" s="2" t="s">
        <v>211</v>
      </c>
      <c r="D238" s="2">
        <v>6.0</v>
      </c>
      <c r="E238" s="2" t="s">
        <v>490</v>
      </c>
    </row>
    <row r="239">
      <c r="A239" s="3" t="s">
        <v>496</v>
      </c>
      <c r="B239" s="3" t="s">
        <v>497</v>
      </c>
      <c r="C239" s="2" t="s">
        <v>497</v>
      </c>
      <c r="D239" s="2">
        <v>3.0</v>
      </c>
      <c r="E239" s="2" t="s">
        <v>490</v>
      </c>
    </row>
    <row r="240">
      <c r="A240" s="3" t="s">
        <v>498</v>
      </c>
      <c r="B240" s="3" t="s">
        <v>203</v>
      </c>
      <c r="C240" s="2" t="s">
        <v>203</v>
      </c>
      <c r="D240" s="2">
        <v>10.0</v>
      </c>
      <c r="E240" s="2" t="s">
        <v>499</v>
      </c>
    </row>
    <row r="241">
      <c r="A241" s="3" t="s">
        <v>500</v>
      </c>
      <c r="B241" s="3" t="s">
        <v>501</v>
      </c>
      <c r="C241" s="2" t="s">
        <v>501</v>
      </c>
      <c r="D241" s="2">
        <v>12.0</v>
      </c>
      <c r="E241" s="2" t="s">
        <v>499</v>
      </c>
    </row>
    <row r="242">
      <c r="A242" s="3" t="s">
        <v>502</v>
      </c>
      <c r="B242" s="3" t="s">
        <v>503</v>
      </c>
      <c r="C242" s="2" t="s">
        <v>503</v>
      </c>
      <c r="D242" s="2">
        <v>8.0</v>
      </c>
      <c r="E242" s="2" t="s">
        <v>499</v>
      </c>
    </row>
    <row r="243">
      <c r="A243" s="3" t="s">
        <v>504</v>
      </c>
      <c r="B243" s="3" t="s">
        <v>505</v>
      </c>
      <c r="C243" s="2" t="s">
        <v>505</v>
      </c>
      <c r="D243" s="2">
        <v>8.0</v>
      </c>
      <c r="E243" s="2" t="s">
        <v>499</v>
      </c>
    </row>
    <row r="244">
      <c r="A244" s="3" t="s">
        <v>506</v>
      </c>
      <c r="B244" s="3" t="s">
        <v>49</v>
      </c>
      <c r="C244" s="2" t="s">
        <v>49</v>
      </c>
      <c r="D244" s="2">
        <v>2.0</v>
      </c>
      <c r="E244" s="2" t="s">
        <v>499</v>
      </c>
    </row>
    <row r="245">
      <c r="A245" s="3" t="s">
        <v>507</v>
      </c>
      <c r="B245" s="3" t="s">
        <v>29</v>
      </c>
      <c r="C245" s="2" t="s">
        <v>29</v>
      </c>
      <c r="D245" s="2">
        <v>5.0</v>
      </c>
      <c r="E245" s="2" t="s">
        <v>499</v>
      </c>
    </row>
    <row r="246">
      <c r="A246" s="3" t="s">
        <v>508</v>
      </c>
      <c r="B246" s="3" t="s">
        <v>93</v>
      </c>
      <c r="C246" s="2" t="s">
        <v>93</v>
      </c>
      <c r="D246" s="2">
        <v>15.0</v>
      </c>
      <c r="E246" s="2" t="s">
        <v>509</v>
      </c>
    </row>
    <row r="247">
      <c r="A247" s="3" t="s">
        <v>510</v>
      </c>
      <c r="B247" s="3" t="s">
        <v>511</v>
      </c>
      <c r="C247" s="2" t="s">
        <v>511</v>
      </c>
      <c r="D247" s="2">
        <v>7.0</v>
      </c>
      <c r="E247" s="2" t="s">
        <v>509</v>
      </c>
    </row>
    <row r="248">
      <c r="A248" s="3" t="s">
        <v>512</v>
      </c>
      <c r="B248" s="3" t="s">
        <v>511</v>
      </c>
      <c r="C248" s="2" t="s">
        <v>511</v>
      </c>
      <c r="D248" s="2">
        <v>7.0</v>
      </c>
      <c r="E248" s="2" t="s">
        <v>509</v>
      </c>
    </row>
    <row r="249">
      <c r="A249" s="3" t="s">
        <v>513</v>
      </c>
      <c r="B249" s="3" t="s">
        <v>511</v>
      </c>
      <c r="C249" s="2" t="s">
        <v>511</v>
      </c>
      <c r="D249" s="2">
        <v>7.0</v>
      </c>
      <c r="E249" s="2" t="s">
        <v>509</v>
      </c>
    </row>
    <row r="250">
      <c r="A250" s="3" t="s">
        <v>514</v>
      </c>
      <c r="B250" s="3" t="s">
        <v>274</v>
      </c>
      <c r="C250" s="2" t="s">
        <v>274</v>
      </c>
      <c r="D250" s="2">
        <v>16.0</v>
      </c>
      <c r="E250" s="2" t="s">
        <v>509</v>
      </c>
    </row>
    <row r="251">
      <c r="A251" s="3" t="s">
        <v>515</v>
      </c>
      <c r="B251" s="3" t="s">
        <v>29</v>
      </c>
      <c r="C251" s="2" t="s">
        <v>29</v>
      </c>
      <c r="D251" s="2">
        <v>5.0</v>
      </c>
      <c r="E251" s="2" t="s">
        <v>516</v>
      </c>
    </row>
    <row r="252">
      <c r="A252" s="3" t="s">
        <v>517</v>
      </c>
      <c r="B252" s="3" t="s">
        <v>420</v>
      </c>
      <c r="C252" s="2" t="s">
        <v>420</v>
      </c>
      <c r="D252" s="2">
        <v>15.0</v>
      </c>
      <c r="E252" s="2" t="s">
        <v>516</v>
      </c>
    </row>
    <row r="253">
      <c r="A253" s="3" t="s">
        <v>518</v>
      </c>
      <c r="B253" s="3" t="s">
        <v>519</v>
      </c>
      <c r="C253" s="2" t="s">
        <v>519</v>
      </c>
      <c r="D253" s="2">
        <v>5.0</v>
      </c>
      <c r="E253" s="2" t="s">
        <v>516</v>
      </c>
    </row>
    <row r="254">
      <c r="A254" s="3" t="s">
        <v>520</v>
      </c>
      <c r="B254" s="3" t="s">
        <v>521</v>
      </c>
      <c r="C254" s="2" t="s">
        <v>521</v>
      </c>
      <c r="D254" s="2">
        <v>15.0</v>
      </c>
      <c r="E254" s="2" t="s">
        <v>516</v>
      </c>
    </row>
    <row r="255">
      <c r="A255" s="3" t="s">
        <v>522</v>
      </c>
      <c r="B255" s="3" t="s">
        <v>523</v>
      </c>
      <c r="C255" s="2" t="s">
        <v>523</v>
      </c>
      <c r="D255" s="2">
        <v>21.0</v>
      </c>
      <c r="E255" s="2" t="s">
        <v>524</v>
      </c>
    </row>
    <row r="256">
      <c r="A256" s="3" t="s">
        <v>525</v>
      </c>
      <c r="B256" s="3" t="s">
        <v>526</v>
      </c>
      <c r="C256" s="2" t="s">
        <v>526</v>
      </c>
      <c r="D256" s="2">
        <v>6.0</v>
      </c>
      <c r="E256" s="2" t="s">
        <v>524</v>
      </c>
    </row>
    <row r="257">
      <c r="A257" s="3" t="s">
        <v>527</v>
      </c>
      <c r="B257" s="3" t="s">
        <v>528</v>
      </c>
      <c r="C257" s="2" t="s">
        <v>528</v>
      </c>
      <c r="D257" s="2">
        <v>4.0</v>
      </c>
      <c r="E257" s="2" t="s">
        <v>524</v>
      </c>
    </row>
    <row r="258">
      <c r="A258" s="3" t="s">
        <v>529</v>
      </c>
      <c r="B258" s="3" t="s">
        <v>530</v>
      </c>
      <c r="C258" s="2" t="s">
        <v>530</v>
      </c>
      <c r="D258" s="2">
        <v>6.0</v>
      </c>
      <c r="E258" s="2" t="s">
        <v>524</v>
      </c>
    </row>
    <row r="259">
      <c r="A259" s="3" t="s">
        <v>531</v>
      </c>
      <c r="B259" s="3" t="s">
        <v>532</v>
      </c>
      <c r="C259" s="2" t="s">
        <v>532</v>
      </c>
      <c r="D259" s="2">
        <v>21.0</v>
      </c>
      <c r="E259" s="2" t="s">
        <v>524</v>
      </c>
    </row>
    <row r="260">
      <c r="A260" s="3" t="s">
        <v>533</v>
      </c>
      <c r="B260" s="3" t="s">
        <v>534</v>
      </c>
      <c r="C260" s="2" t="s">
        <v>534</v>
      </c>
      <c r="D260" s="2">
        <v>22.0</v>
      </c>
      <c r="E260" s="2" t="s">
        <v>524</v>
      </c>
    </row>
    <row r="261">
      <c r="A261" s="3" t="s">
        <v>535</v>
      </c>
      <c r="B261" s="3" t="s">
        <v>536</v>
      </c>
      <c r="C261" s="2" t="s">
        <v>536</v>
      </c>
      <c r="D261" s="2">
        <v>12.0</v>
      </c>
      <c r="E261" s="2" t="s">
        <v>537</v>
      </c>
    </row>
    <row r="262">
      <c r="A262" s="3" t="s">
        <v>538</v>
      </c>
      <c r="B262" s="3" t="s">
        <v>539</v>
      </c>
      <c r="C262" s="2" t="s">
        <v>539</v>
      </c>
      <c r="D262" s="2">
        <v>12.0</v>
      </c>
      <c r="E262" s="2" t="s">
        <v>537</v>
      </c>
    </row>
    <row r="263">
      <c r="A263" s="3" t="s">
        <v>540</v>
      </c>
      <c r="B263" s="3" t="s">
        <v>541</v>
      </c>
      <c r="C263" s="2" t="s">
        <v>541</v>
      </c>
      <c r="D263" s="2">
        <v>12.0</v>
      </c>
      <c r="E263" s="2" t="s">
        <v>537</v>
      </c>
    </row>
    <row r="264">
      <c r="A264" s="3" t="s">
        <v>542</v>
      </c>
      <c r="B264" s="3" t="s">
        <v>543</v>
      </c>
      <c r="C264" s="2" t="s">
        <v>543</v>
      </c>
      <c r="D264" s="2">
        <v>0.0</v>
      </c>
      <c r="E264" s="2" t="s">
        <v>537</v>
      </c>
    </row>
    <row r="265">
      <c r="A265" s="3" t="s">
        <v>544</v>
      </c>
      <c r="B265" s="3" t="s">
        <v>545</v>
      </c>
      <c r="C265" s="2" t="s">
        <v>545</v>
      </c>
      <c r="D265" s="2">
        <v>40.0</v>
      </c>
      <c r="E265" s="2" t="s">
        <v>546</v>
      </c>
    </row>
    <row r="266">
      <c r="A266" s="3" t="s">
        <v>547</v>
      </c>
      <c r="B266" s="3" t="s">
        <v>548</v>
      </c>
      <c r="C266" s="2" t="s">
        <v>548</v>
      </c>
      <c r="D266" s="2">
        <v>15.0</v>
      </c>
      <c r="E266" s="2" t="s">
        <v>549</v>
      </c>
    </row>
    <row r="267">
      <c r="A267" s="3" t="s">
        <v>550</v>
      </c>
      <c r="B267" s="3" t="s">
        <v>551</v>
      </c>
      <c r="C267" s="2" t="s">
        <v>551</v>
      </c>
      <c r="D267" s="2">
        <v>9.0</v>
      </c>
      <c r="E267" s="2" t="s">
        <v>549</v>
      </c>
    </row>
    <row r="268">
      <c r="A268" s="3" t="s">
        <v>552</v>
      </c>
      <c r="B268" s="3" t="s">
        <v>553</v>
      </c>
      <c r="C268" s="2" t="s">
        <v>553</v>
      </c>
      <c r="D268" s="2">
        <v>9.0</v>
      </c>
      <c r="E268" s="2" t="s">
        <v>549</v>
      </c>
    </row>
    <row r="269">
      <c r="A269" s="3" t="s">
        <v>554</v>
      </c>
      <c r="B269" s="3" t="s">
        <v>555</v>
      </c>
      <c r="C269" s="2" t="s">
        <v>555</v>
      </c>
      <c r="D269" s="2">
        <v>9.0</v>
      </c>
      <c r="E269" s="2" t="s">
        <v>549</v>
      </c>
    </row>
    <row r="270">
      <c r="A270" s="3" t="s">
        <v>556</v>
      </c>
      <c r="B270" s="3" t="s">
        <v>203</v>
      </c>
      <c r="C270" s="2" t="s">
        <v>203</v>
      </c>
      <c r="D270" s="2">
        <v>10.0</v>
      </c>
      <c r="E270" s="2" t="s">
        <v>549</v>
      </c>
    </row>
    <row r="271">
      <c r="A271" s="3" t="s">
        <v>557</v>
      </c>
      <c r="B271" s="3" t="s">
        <v>558</v>
      </c>
      <c r="C271" s="2" t="s">
        <v>558</v>
      </c>
      <c r="D271" s="2">
        <v>16.0</v>
      </c>
      <c r="E271" s="2" t="s">
        <v>559</v>
      </c>
    </row>
    <row r="272">
      <c r="A272" s="3" t="s">
        <v>560</v>
      </c>
      <c r="B272" s="3" t="s">
        <v>561</v>
      </c>
      <c r="C272" s="2" t="s">
        <v>561</v>
      </c>
      <c r="D272" s="2">
        <v>16.0</v>
      </c>
      <c r="E272" s="2" t="s">
        <v>559</v>
      </c>
    </row>
    <row r="273">
      <c r="A273" s="3" t="s">
        <v>562</v>
      </c>
      <c r="B273" s="3" t="s">
        <v>563</v>
      </c>
      <c r="C273" s="2" t="s">
        <v>563</v>
      </c>
      <c r="D273" s="2">
        <v>16.0</v>
      </c>
      <c r="E273" s="2" t="s">
        <v>559</v>
      </c>
    </row>
    <row r="274">
      <c r="A274" s="3" t="s">
        <v>564</v>
      </c>
      <c r="B274" s="3" t="s">
        <v>565</v>
      </c>
      <c r="C274" s="2" t="s">
        <v>565</v>
      </c>
      <c r="D274" s="2">
        <v>8.0</v>
      </c>
      <c r="E274" s="2" t="s">
        <v>566</v>
      </c>
    </row>
    <row r="275">
      <c r="A275" s="3" t="s">
        <v>567</v>
      </c>
      <c r="B275" s="3" t="s">
        <v>568</v>
      </c>
      <c r="C275" s="2" t="s">
        <v>568</v>
      </c>
      <c r="D275" s="2">
        <v>8.0</v>
      </c>
      <c r="E275" s="2" t="s">
        <v>566</v>
      </c>
    </row>
    <row r="276">
      <c r="A276" s="3" t="s">
        <v>569</v>
      </c>
      <c r="B276" s="3" t="s">
        <v>570</v>
      </c>
      <c r="C276" s="2" t="s">
        <v>570</v>
      </c>
      <c r="D276" s="2">
        <v>8.0</v>
      </c>
      <c r="E276" s="2" t="s">
        <v>566</v>
      </c>
    </row>
    <row r="277">
      <c r="A277" s="3" t="s">
        <v>571</v>
      </c>
      <c r="B277" s="3" t="s">
        <v>203</v>
      </c>
      <c r="C277" s="2" t="s">
        <v>203</v>
      </c>
      <c r="D277" s="2">
        <v>10.0</v>
      </c>
      <c r="E277" s="2" t="s">
        <v>566</v>
      </c>
    </row>
    <row r="278">
      <c r="C278" s="2" t="s">
        <v>572</v>
      </c>
      <c r="D278" s="2" t="s">
        <v>572</v>
      </c>
      <c r="E278" s="2"/>
    </row>
    <row r="279">
      <c r="C279" s="2" t="s">
        <v>572</v>
      </c>
      <c r="D279" s="2" t="s">
        <v>572</v>
      </c>
      <c r="E279" s="2"/>
    </row>
    <row r="280">
      <c r="C280" s="2" t="s">
        <v>572</v>
      </c>
      <c r="D280" s="2" t="s">
        <v>572</v>
      </c>
      <c r="E280" s="2"/>
    </row>
    <row r="281">
      <c r="C281" s="2" t="s">
        <v>572</v>
      </c>
      <c r="D281" s="2" t="s">
        <v>572</v>
      </c>
      <c r="E281" s="2"/>
    </row>
    <row r="282">
      <c r="C282" s="2" t="s">
        <v>572</v>
      </c>
      <c r="D282" s="2" t="s">
        <v>572</v>
      </c>
      <c r="E282" s="2"/>
    </row>
    <row r="283">
      <c r="C283" s="2" t="s">
        <v>572</v>
      </c>
      <c r="D283" s="2" t="s">
        <v>572</v>
      </c>
      <c r="E283" s="2"/>
    </row>
    <row r="284">
      <c r="C284" s="2" t="s">
        <v>572</v>
      </c>
      <c r="D284" s="2" t="s">
        <v>572</v>
      </c>
      <c r="E284" s="2"/>
    </row>
    <row r="285">
      <c r="C285" s="2" t="s">
        <v>572</v>
      </c>
      <c r="D285" s="2" t="s">
        <v>572</v>
      </c>
      <c r="E285" s="2"/>
    </row>
    <row r="286">
      <c r="C286" s="2" t="s">
        <v>572</v>
      </c>
      <c r="D286" s="2" t="s">
        <v>572</v>
      </c>
      <c r="E286" s="2"/>
    </row>
    <row r="287">
      <c r="C287" s="2" t="s">
        <v>572</v>
      </c>
      <c r="D287" s="2" t="s">
        <v>572</v>
      </c>
      <c r="E287" s="2"/>
    </row>
    <row r="288">
      <c r="C288" s="2" t="s">
        <v>572</v>
      </c>
      <c r="D288" s="2" t="s">
        <v>572</v>
      </c>
      <c r="E288" s="2"/>
    </row>
    <row r="289">
      <c r="C289" s="2" t="s">
        <v>572</v>
      </c>
      <c r="D289" s="2" t="s">
        <v>572</v>
      </c>
      <c r="E289" s="2"/>
    </row>
    <row r="290">
      <c r="C290" s="2" t="s">
        <v>572</v>
      </c>
      <c r="D290" s="2" t="s">
        <v>572</v>
      </c>
      <c r="E290" s="2"/>
    </row>
    <row r="291">
      <c r="C291" s="2" t="s">
        <v>572</v>
      </c>
      <c r="D291" s="2" t="s">
        <v>572</v>
      </c>
      <c r="E291" s="2"/>
    </row>
    <row r="292">
      <c r="C292" s="2" t="s">
        <v>572</v>
      </c>
      <c r="D292" s="2" t="s">
        <v>572</v>
      </c>
      <c r="E292" s="2"/>
    </row>
    <row r="293">
      <c r="C293" s="2" t="s">
        <v>572</v>
      </c>
      <c r="D293" s="2" t="s">
        <v>572</v>
      </c>
      <c r="E293" s="2"/>
    </row>
    <row r="294">
      <c r="C294" s="2" t="s">
        <v>572</v>
      </c>
      <c r="D294" s="2" t="s">
        <v>572</v>
      </c>
      <c r="E294" s="2"/>
    </row>
    <row r="295">
      <c r="C295" s="2" t="s">
        <v>572</v>
      </c>
      <c r="D295" s="2" t="s">
        <v>572</v>
      </c>
      <c r="E295" s="2"/>
    </row>
    <row r="296">
      <c r="C296" s="2" t="s">
        <v>572</v>
      </c>
      <c r="D296" s="2" t="s">
        <v>572</v>
      </c>
      <c r="E296" s="2"/>
    </row>
    <row r="297">
      <c r="C297" s="2" t="s">
        <v>572</v>
      </c>
      <c r="D297" s="2" t="s">
        <v>572</v>
      </c>
      <c r="E297" s="2"/>
    </row>
    <row r="298">
      <c r="C298" s="2" t="s">
        <v>572</v>
      </c>
      <c r="D298" s="2" t="s">
        <v>572</v>
      </c>
      <c r="E298" s="2"/>
    </row>
    <row r="299">
      <c r="C299" s="2" t="s">
        <v>572</v>
      </c>
      <c r="D299" s="2" t="s">
        <v>572</v>
      </c>
      <c r="E299" s="2"/>
    </row>
    <row r="300">
      <c r="C300" s="2" t="s">
        <v>572</v>
      </c>
      <c r="D300" s="2" t="s">
        <v>572</v>
      </c>
      <c r="E300" s="2"/>
    </row>
    <row r="301">
      <c r="C301" s="2" t="s">
        <v>572</v>
      </c>
      <c r="D301" s="2" t="s">
        <v>572</v>
      </c>
      <c r="E301" s="2"/>
    </row>
    <row r="302">
      <c r="C302" s="2" t="s">
        <v>572</v>
      </c>
      <c r="D302" s="2" t="s">
        <v>572</v>
      </c>
      <c r="E302" s="2"/>
    </row>
    <row r="303">
      <c r="C303" s="2" t="s">
        <v>572</v>
      </c>
      <c r="D303" s="2" t="s">
        <v>572</v>
      </c>
      <c r="E303" s="2"/>
    </row>
    <row r="304">
      <c r="C304" s="2" t="s">
        <v>572</v>
      </c>
      <c r="D304" s="2" t="s">
        <v>572</v>
      </c>
      <c r="E304" s="2"/>
    </row>
    <row r="305">
      <c r="C305" s="2" t="s">
        <v>572</v>
      </c>
      <c r="D305" s="2" t="s">
        <v>572</v>
      </c>
      <c r="E305" s="2"/>
    </row>
    <row r="306">
      <c r="C306" s="2" t="s">
        <v>572</v>
      </c>
      <c r="D306" s="2" t="s">
        <v>572</v>
      </c>
      <c r="E306" s="2"/>
    </row>
    <row r="307">
      <c r="C307" s="2" t="s">
        <v>572</v>
      </c>
      <c r="D307" s="2" t="s">
        <v>572</v>
      </c>
      <c r="E307" s="2"/>
    </row>
    <row r="308">
      <c r="C308" s="2" t="s">
        <v>572</v>
      </c>
      <c r="D308" s="2" t="s">
        <v>572</v>
      </c>
      <c r="E308" s="2"/>
    </row>
    <row r="309">
      <c r="C309" s="2" t="s">
        <v>572</v>
      </c>
      <c r="D309" s="2" t="s">
        <v>572</v>
      </c>
      <c r="E309" s="2"/>
    </row>
    <row r="310">
      <c r="C310" s="2" t="s">
        <v>572</v>
      </c>
      <c r="D310" s="2" t="s">
        <v>572</v>
      </c>
      <c r="E310" s="2"/>
    </row>
    <row r="311">
      <c r="C311" s="2" t="s">
        <v>572</v>
      </c>
      <c r="D311" s="2" t="s">
        <v>572</v>
      </c>
      <c r="E311" s="2"/>
    </row>
    <row r="312">
      <c r="C312" s="2" t="s">
        <v>572</v>
      </c>
      <c r="D312" s="2" t="s">
        <v>572</v>
      </c>
      <c r="E312" s="2"/>
    </row>
    <row r="313">
      <c r="C313" s="2" t="s">
        <v>572</v>
      </c>
      <c r="D313" s="2" t="s">
        <v>572</v>
      </c>
      <c r="E313" s="2"/>
    </row>
    <row r="314">
      <c r="C314" s="2" t="s">
        <v>572</v>
      </c>
      <c r="D314" s="2" t="s">
        <v>572</v>
      </c>
      <c r="E314" s="2"/>
    </row>
    <row r="315">
      <c r="C315" s="2" t="s">
        <v>572</v>
      </c>
      <c r="D315" s="2" t="s">
        <v>572</v>
      </c>
      <c r="E315" s="2"/>
    </row>
    <row r="316">
      <c r="C316" s="2" t="s">
        <v>572</v>
      </c>
      <c r="D316" s="2" t="s">
        <v>572</v>
      </c>
      <c r="E316" s="2"/>
    </row>
    <row r="317">
      <c r="C317" s="2" t="s">
        <v>572</v>
      </c>
      <c r="D317" s="2" t="s">
        <v>572</v>
      </c>
      <c r="E317" s="2"/>
    </row>
    <row r="318">
      <c r="C318" s="2" t="s">
        <v>572</v>
      </c>
      <c r="D318" s="2" t="s">
        <v>572</v>
      </c>
      <c r="E318" s="2"/>
    </row>
    <row r="319">
      <c r="C319" s="2" t="s">
        <v>572</v>
      </c>
      <c r="D319" s="2" t="s">
        <v>572</v>
      </c>
      <c r="E319" s="2"/>
    </row>
    <row r="320">
      <c r="C320" s="2" t="s">
        <v>572</v>
      </c>
      <c r="D320" s="2" t="s">
        <v>572</v>
      </c>
      <c r="E320" s="2"/>
    </row>
    <row r="321">
      <c r="C321" s="2" t="s">
        <v>572</v>
      </c>
      <c r="D321" s="2" t="s">
        <v>572</v>
      </c>
      <c r="E321" s="2"/>
    </row>
    <row r="322">
      <c r="C322" s="2" t="s">
        <v>572</v>
      </c>
      <c r="D322" s="2" t="s">
        <v>572</v>
      </c>
      <c r="E322" s="2"/>
    </row>
    <row r="323">
      <c r="C323" s="2" t="s">
        <v>572</v>
      </c>
      <c r="D323" s="2" t="s">
        <v>572</v>
      </c>
      <c r="E323" s="2"/>
    </row>
    <row r="324">
      <c r="C324" s="2" t="s">
        <v>572</v>
      </c>
      <c r="D324" s="2" t="s">
        <v>572</v>
      </c>
      <c r="E324" s="2"/>
    </row>
    <row r="325">
      <c r="C325" s="2" t="s">
        <v>572</v>
      </c>
      <c r="D325" s="2" t="s">
        <v>572</v>
      </c>
      <c r="E325" s="2"/>
    </row>
    <row r="326">
      <c r="C326" s="2" t="s">
        <v>572</v>
      </c>
      <c r="D326" s="2" t="s">
        <v>572</v>
      </c>
      <c r="E326" s="2"/>
    </row>
    <row r="327">
      <c r="C327" s="2" t="s">
        <v>572</v>
      </c>
      <c r="D327" s="2" t="s">
        <v>572</v>
      </c>
      <c r="E327" s="2"/>
    </row>
    <row r="328">
      <c r="C328" s="2" t="s">
        <v>572</v>
      </c>
      <c r="D328" s="2" t="s">
        <v>572</v>
      </c>
      <c r="E328" s="2"/>
    </row>
    <row r="329">
      <c r="C329" s="2" t="s">
        <v>572</v>
      </c>
      <c r="D329" s="2" t="s">
        <v>572</v>
      </c>
      <c r="E329" s="2"/>
    </row>
    <row r="330">
      <c r="C330" s="2" t="s">
        <v>572</v>
      </c>
      <c r="D330" s="2" t="s">
        <v>572</v>
      </c>
      <c r="E330" s="2"/>
    </row>
    <row r="331">
      <c r="C331" s="2" t="s">
        <v>572</v>
      </c>
      <c r="D331" s="2" t="s">
        <v>572</v>
      </c>
      <c r="E331" s="2"/>
    </row>
    <row r="332">
      <c r="C332" s="2" t="s">
        <v>572</v>
      </c>
      <c r="D332" s="2" t="s">
        <v>572</v>
      </c>
      <c r="E332" s="2"/>
    </row>
    <row r="333">
      <c r="C333" s="2" t="s">
        <v>572</v>
      </c>
      <c r="D333" s="2" t="s">
        <v>572</v>
      </c>
      <c r="E333" s="2"/>
    </row>
    <row r="334">
      <c r="C334" s="2" t="s">
        <v>572</v>
      </c>
      <c r="D334" s="2" t="s">
        <v>572</v>
      </c>
      <c r="E334" s="2"/>
    </row>
    <row r="335">
      <c r="C335" s="2" t="s">
        <v>572</v>
      </c>
      <c r="D335" s="2" t="s">
        <v>572</v>
      </c>
      <c r="E335" s="2"/>
    </row>
    <row r="336">
      <c r="C336" s="2" t="s">
        <v>572</v>
      </c>
      <c r="D336" s="2" t="s">
        <v>572</v>
      </c>
      <c r="E336" s="2"/>
    </row>
    <row r="337">
      <c r="C337" s="2" t="s">
        <v>572</v>
      </c>
      <c r="D337" s="2" t="s">
        <v>572</v>
      </c>
      <c r="E337" s="2"/>
    </row>
    <row r="338">
      <c r="C338" s="2" t="s">
        <v>572</v>
      </c>
      <c r="D338" s="2" t="s">
        <v>572</v>
      </c>
      <c r="E338" s="2"/>
    </row>
    <row r="339">
      <c r="C339" s="2" t="s">
        <v>572</v>
      </c>
      <c r="D339" s="2" t="s">
        <v>572</v>
      </c>
      <c r="E339" s="2"/>
    </row>
    <row r="340">
      <c r="C340" s="2" t="s">
        <v>572</v>
      </c>
      <c r="D340" s="2" t="s">
        <v>572</v>
      </c>
      <c r="E340" s="2"/>
    </row>
    <row r="341">
      <c r="C341" s="2" t="s">
        <v>572</v>
      </c>
      <c r="D341" s="2" t="s">
        <v>572</v>
      </c>
      <c r="E341" s="2"/>
    </row>
    <row r="342">
      <c r="C342" s="2" t="s">
        <v>572</v>
      </c>
      <c r="D342" s="2" t="s">
        <v>572</v>
      </c>
      <c r="E342" s="2"/>
    </row>
    <row r="343">
      <c r="C343" s="2" t="s">
        <v>572</v>
      </c>
      <c r="D343" s="2" t="s">
        <v>572</v>
      </c>
      <c r="E343" s="2"/>
    </row>
    <row r="344">
      <c r="C344" s="2" t="s">
        <v>572</v>
      </c>
      <c r="D344" s="2" t="s">
        <v>572</v>
      </c>
      <c r="E344" s="2"/>
    </row>
    <row r="345">
      <c r="C345" s="2" t="s">
        <v>572</v>
      </c>
      <c r="D345" s="2" t="s">
        <v>572</v>
      </c>
      <c r="E345" s="2"/>
    </row>
    <row r="346">
      <c r="C346" s="2" t="s">
        <v>572</v>
      </c>
      <c r="D346" s="2" t="s">
        <v>572</v>
      </c>
      <c r="E346" s="2"/>
    </row>
    <row r="347">
      <c r="C347" s="2" t="s">
        <v>572</v>
      </c>
      <c r="D347" s="2" t="s">
        <v>572</v>
      </c>
      <c r="E347" s="2"/>
    </row>
    <row r="348">
      <c r="C348" s="2" t="s">
        <v>572</v>
      </c>
      <c r="D348" s="2" t="s">
        <v>572</v>
      </c>
      <c r="E348" s="2"/>
    </row>
    <row r="349">
      <c r="C349" s="2" t="s">
        <v>572</v>
      </c>
      <c r="D349" s="2" t="s">
        <v>572</v>
      </c>
      <c r="E349" s="2"/>
    </row>
    <row r="350">
      <c r="C350" s="2" t="s">
        <v>572</v>
      </c>
      <c r="D350" s="2" t="s">
        <v>572</v>
      </c>
      <c r="E350" s="2"/>
    </row>
    <row r="351">
      <c r="C351" s="2" t="s">
        <v>572</v>
      </c>
      <c r="D351" s="2" t="s">
        <v>572</v>
      </c>
      <c r="E351" s="2"/>
    </row>
    <row r="352">
      <c r="C352" s="2" t="s">
        <v>572</v>
      </c>
      <c r="D352" s="2" t="s">
        <v>572</v>
      </c>
      <c r="E352" s="2"/>
    </row>
    <row r="353">
      <c r="C353" s="2" t="s">
        <v>572</v>
      </c>
      <c r="D353" s="2" t="s">
        <v>572</v>
      </c>
      <c r="E353" s="2"/>
    </row>
    <row r="354">
      <c r="C354" s="2" t="s">
        <v>572</v>
      </c>
      <c r="D354" s="2" t="s">
        <v>572</v>
      </c>
      <c r="E354" s="2"/>
    </row>
    <row r="355">
      <c r="C355" s="2" t="s">
        <v>572</v>
      </c>
      <c r="D355" s="2" t="s">
        <v>572</v>
      </c>
      <c r="E355" s="2"/>
    </row>
    <row r="356">
      <c r="C356" s="2" t="s">
        <v>572</v>
      </c>
      <c r="D356" s="2" t="s">
        <v>572</v>
      </c>
      <c r="E356" s="2"/>
    </row>
    <row r="357">
      <c r="C357" s="2" t="s">
        <v>572</v>
      </c>
      <c r="D357" s="2" t="s">
        <v>572</v>
      </c>
      <c r="E357" s="2"/>
    </row>
    <row r="358">
      <c r="C358" s="2" t="s">
        <v>572</v>
      </c>
      <c r="D358" s="2" t="s">
        <v>572</v>
      </c>
      <c r="E358" s="2"/>
    </row>
    <row r="359">
      <c r="C359" s="2" t="s">
        <v>572</v>
      </c>
      <c r="D359" s="2" t="s">
        <v>572</v>
      </c>
      <c r="E359" s="2"/>
    </row>
    <row r="360">
      <c r="C360" s="2" t="s">
        <v>572</v>
      </c>
      <c r="D360" s="2" t="s">
        <v>572</v>
      </c>
      <c r="E360" s="2"/>
    </row>
    <row r="361">
      <c r="C361" s="2" t="s">
        <v>572</v>
      </c>
      <c r="D361" s="2" t="s">
        <v>572</v>
      </c>
      <c r="E361" s="2"/>
    </row>
    <row r="362">
      <c r="C362" s="2" t="s">
        <v>572</v>
      </c>
      <c r="D362" s="2" t="s">
        <v>572</v>
      </c>
      <c r="E362" s="2"/>
    </row>
    <row r="363">
      <c r="C363" s="2" t="s">
        <v>572</v>
      </c>
      <c r="D363" s="2" t="s">
        <v>572</v>
      </c>
      <c r="E363" s="2"/>
    </row>
    <row r="364">
      <c r="C364" s="2" t="s">
        <v>572</v>
      </c>
      <c r="D364" s="2" t="s">
        <v>572</v>
      </c>
      <c r="E364" s="2"/>
    </row>
    <row r="365">
      <c r="C365" s="2" t="s">
        <v>572</v>
      </c>
      <c r="D365" s="2" t="s">
        <v>572</v>
      </c>
      <c r="E365" s="2"/>
    </row>
    <row r="366">
      <c r="C366" s="2" t="s">
        <v>572</v>
      </c>
      <c r="D366" s="2" t="s">
        <v>572</v>
      </c>
      <c r="E366" s="2"/>
    </row>
    <row r="367">
      <c r="C367" s="2" t="s">
        <v>572</v>
      </c>
      <c r="D367" s="2" t="s">
        <v>572</v>
      </c>
      <c r="E367" s="2"/>
    </row>
    <row r="368">
      <c r="C368" s="2" t="s">
        <v>572</v>
      </c>
      <c r="D368" s="2" t="s">
        <v>572</v>
      </c>
      <c r="E368" s="2"/>
    </row>
    <row r="369">
      <c r="C369" s="2" t="s">
        <v>572</v>
      </c>
      <c r="D369" s="2" t="s">
        <v>572</v>
      </c>
      <c r="E369" s="2"/>
    </row>
    <row r="370">
      <c r="C370" s="2" t="s">
        <v>572</v>
      </c>
      <c r="D370" s="2" t="s">
        <v>572</v>
      </c>
      <c r="E370" s="2"/>
    </row>
    <row r="371">
      <c r="C371" s="2" t="s">
        <v>572</v>
      </c>
      <c r="D371" s="2" t="s">
        <v>572</v>
      </c>
      <c r="E371" s="2"/>
    </row>
    <row r="372">
      <c r="C372" s="2" t="s">
        <v>572</v>
      </c>
      <c r="D372" s="2" t="s">
        <v>572</v>
      </c>
      <c r="E372" s="2"/>
    </row>
    <row r="373">
      <c r="C373" s="2" t="s">
        <v>572</v>
      </c>
      <c r="D373" s="2" t="s">
        <v>572</v>
      </c>
      <c r="E373" s="2"/>
    </row>
    <row r="374">
      <c r="C374" s="2" t="s">
        <v>572</v>
      </c>
      <c r="D374" s="2" t="s">
        <v>572</v>
      </c>
      <c r="E374" s="2"/>
    </row>
    <row r="375">
      <c r="C375" s="2" t="s">
        <v>572</v>
      </c>
      <c r="D375" s="2" t="s">
        <v>572</v>
      </c>
      <c r="E375" s="2"/>
    </row>
    <row r="376">
      <c r="C376" s="2" t="s">
        <v>572</v>
      </c>
      <c r="D376" s="2" t="s">
        <v>572</v>
      </c>
      <c r="E376" s="2"/>
    </row>
    <row r="377">
      <c r="C377" s="2" t="s">
        <v>572</v>
      </c>
      <c r="D377" s="2" t="s">
        <v>572</v>
      </c>
      <c r="E377" s="2"/>
    </row>
    <row r="378">
      <c r="C378" s="2" t="s">
        <v>572</v>
      </c>
      <c r="D378" s="2" t="s">
        <v>572</v>
      </c>
      <c r="E378" s="2"/>
    </row>
    <row r="379">
      <c r="C379" s="2" t="s">
        <v>572</v>
      </c>
      <c r="D379" s="2" t="s">
        <v>572</v>
      </c>
      <c r="E379" s="2"/>
    </row>
    <row r="380">
      <c r="C380" s="2" t="s">
        <v>572</v>
      </c>
      <c r="D380" s="2" t="s">
        <v>572</v>
      </c>
      <c r="E380" s="2"/>
    </row>
    <row r="381">
      <c r="C381" s="2" t="s">
        <v>572</v>
      </c>
      <c r="D381" s="2" t="s">
        <v>572</v>
      </c>
      <c r="E381" s="2"/>
    </row>
    <row r="382">
      <c r="C382" s="2" t="s">
        <v>572</v>
      </c>
      <c r="D382" s="2" t="s">
        <v>572</v>
      </c>
      <c r="E382" s="2"/>
    </row>
    <row r="383">
      <c r="C383" s="2" t="s">
        <v>572</v>
      </c>
      <c r="D383" s="2" t="s">
        <v>572</v>
      </c>
      <c r="E383" s="2"/>
    </row>
    <row r="384">
      <c r="C384" s="2" t="s">
        <v>572</v>
      </c>
      <c r="D384" s="2" t="s">
        <v>572</v>
      </c>
      <c r="E384" s="2"/>
    </row>
    <row r="385">
      <c r="C385" s="2" t="s">
        <v>572</v>
      </c>
      <c r="D385" s="2" t="s">
        <v>572</v>
      </c>
      <c r="E385" s="2"/>
    </row>
    <row r="386">
      <c r="C386" s="2" t="s">
        <v>572</v>
      </c>
      <c r="D386" s="2" t="s">
        <v>572</v>
      </c>
      <c r="E386" s="2"/>
    </row>
    <row r="387">
      <c r="C387" s="2" t="s">
        <v>572</v>
      </c>
      <c r="D387" s="2" t="s">
        <v>572</v>
      </c>
      <c r="E387" s="2"/>
    </row>
    <row r="388">
      <c r="C388" s="2" t="s">
        <v>572</v>
      </c>
      <c r="D388" s="2" t="s">
        <v>572</v>
      </c>
      <c r="E388" s="2"/>
    </row>
    <row r="389">
      <c r="C389" s="2" t="s">
        <v>572</v>
      </c>
      <c r="D389" s="2" t="s">
        <v>572</v>
      </c>
      <c r="E389" s="2"/>
    </row>
    <row r="390">
      <c r="C390" s="2" t="s">
        <v>572</v>
      </c>
      <c r="D390" s="2" t="s">
        <v>572</v>
      </c>
      <c r="E390" s="2"/>
    </row>
    <row r="391">
      <c r="C391" s="2" t="s">
        <v>572</v>
      </c>
      <c r="D391" s="2" t="s">
        <v>572</v>
      </c>
      <c r="E391" s="2"/>
    </row>
    <row r="392">
      <c r="C392" s="2" t="s">
        <v>572</v>
      </c>
      <c r="D392" s="2" t="s">
        <v>572</v>
      </c>
      <c r="E392" s="2"/>
    </row>
    <row r="393">
      <c r="C393" s="2" t="s">
        <v>572</v>
      </c>
      <c r="D393" s="2" t="s">
        <v>572</v>
      </c>
      <c r="E393" s="2"/>
    </row>
    <row r="394">
      <c r="C394" s="2" t="s">
        <v>572</v>
      </c>
      <c r="D394" s="2" t="s">
        <v>572</v>
      </c>
      <c r="E394" s="2"/>
    </row>
    <row r="395">
      <c r="C395" s="2" t="s">
        <v>572</v>
      </c>
      <c r="D395" s="2" t="s">
        <v>572</v>
      </c>
      <c r="E395" s="2"/>
    </row>
    <row r="396">
      <c r="C396" s="2" t="s">
        <v>572</v>
      </c>
      <c r="D396" s="2" t="s">
        <v>572</v>
      </c>
      <c r="E396" s="2"/>
    </row>
    <row r="397">
      <c r="C397" s="2" t="s">
        <v>572</v>
      </c>
      <c r="D397" s="2" t="s">
        <v>572</v>
      </c>
      <c r="E397" s="2"/>
    </row>
    <row r="398">
      <c r="C398" s="2" t="s">
        <v>572</v>
      </c>
      <c r="D398" s="2" t="s">
        <v>572</v>
      </c>
      <c r="E398" s="2"/>
    </row>
    <row r="399">
      <c r="C399" s="2" t="s">
        <v>572</v>
      </c>
      <c r="D399" s="2" t="s">
        <v>572</v>
      </c>
      <c r="E399" s="2"/>
    </row>
    <row r="400">
      <c r="C400" s="2" t="s">
        <v>572</v>
      </c>
      <c r="D400" s="2" t="s">
        <v>572</v>
      </c>
      <c r="E400" s="2"/>
    </row>
    <row r="401">
      <c r="C401" s="2" t="s">
        <v>572</v>
      </c>
      <c r="D401" s="2" t="s">
        <v>572</v>
      </c>
      <c r="E401" s="2"/>
    </row>
    <row r="402">
      <c r="C402" s="2" t="s">
        <v>572</v>
      </c>
      <c r="D402" s="2" t="s">
        <v>572</v>
      </c>
      <c r="E402" s="2"/>
    </row>
    <row r="403">
      <c r="C403" s="2" t="s">
        <v>572</v>
      </c>
      <c r="D403" s="2" t="s">
        <v>572</v>
      </c>
      <c r="E403" s="2"/>
    </row>
    <row r="404">
      <c r="C404" s="2" t="s">
        <v>572</v>
      </c>
      <c r="D404" s="2" t="s">
        <v>572</v>
      </c>
      <c r="E404" s="2"/>
    </row>
    <row r="405">
      <c r="C405" s="2" t="s">
        <v>572</v>
      </c>
      <c r="D405" s="2" t="s">
        <v>572</v>
      </c>
      <c r="E405" s="2"/>
    </row>
    <row r="406">
      <c r="C406" s="2" t="s">
        <v>572</v>
      </c>
      <c r="D406" s="2" t="s">
        <v>572</v>
      </c>
      <c r="E406" s="2"/>
    </row>
    <row r="407">
      <c r="C407" s="2" t="s">
        <v>572</v>
      </c>
      <c r="D407" s="2" t="s">
        <v>572</v>
      </c>
      <c r="E407" s="2"/>
    </row>
    <row r="408">
      <c r="C408" s="2" t="s">
        <v>572</v>
      </c>
      <c r="D408" s="2" t="s">
        <v>572</v>
      </c>
      <c r="E408" s="2"/>
    </row>
    <row r="409">
      <c r="C409" s="2" t="s">
        <v>572</v>
      </c>
      <c r="D409" s="2" t="s">
        <v>572</v>
      </c>
      <c r="E409" s="2"/>
    </row>
    <row r="410">
      <c r="C410" s="2" t="s">
        <v>572</v>
      </c>
      <c r="D410" s="2" t="s">
        <v>572</v>
      </c>
      <c r="E410" s="2"/>
    </row>
    <row r="411">
      <c r="C411" s="2" t="s">
        <v>572</v>
      </c>
      <c r="D411" s="2" t="s">
        <v>572</v>
      </c>
      <c r="E411" s="2"/>
    </row>
    <row r="412">
      <c r="C412" s="2" t="s">
        <v>572</v>
      </c>
      <c r="D412" s="2" t="s">
        <v>572</v>
      </c>
      <c r="E412" s="2"/>
    </row>
    <row r="413">
      <c r="C413" s="2" t="s">
        <v>572</v>
      </c>
      <c r="D413" s="2" t="s">
        <v>572</v>
      </c>
      <c r="E413" s="2"/>
    </row>
    <row r="414">
      <c r="C414" s="2" t="s">
        <v>572</v>
      </c>
      <c r="D414" s="2" t="s">
        <v>572</v>
      </c>
      <c r="E414" s="2"/>
    </row>
    <row r="415">
      <c r="C415" s="2" t="s">
        <v>572</v>
      </c>
      <c r="D415" s="2" t="s">
        <v>572</v>
      </c>
      <c r="E415" s="2"/>
    </row>
    <row r="416">
      <c r="C416" s="2" t="s">
        <v>572</v>
      </c>
      <c r="D416" s="2" t="s">
        <v>572</v>
      </c>
      <c r="E416" s="2"/>
    </row>
    <row r="417">
      <c r="C417" s="2" t="s">
        <v>572</v>
      </c>
      <c r="D417" s="2" t="s">
        <v>572</v>
      </c>
      <c r="E417" s="2"/>
    </row>
    <row r="418">
      <c r="C418" s="2" t="s">
        <v>572</v>
      </c>
      <c r="D418" s="2" t="s">
        <v>572</v>
      </c>
      <c r="E418" s="2"/>
    </row>
    <row r="419">
      <c r="C419" s="2" t="s">
        <v>572</v>
      </c>
      <c r="D419" s="2" t="s">
        <v>572</v>
      </c>
      <c r="E419" s="2"/>
    </row>
    <row r="420">
      <c r="C420" s="2" t="s">
        <v>572</v>
      </c>
      <c r="D420" s="2" t="s">
        <v>572</v>
      </c>
      <c r="E420" s="2"/>
    </row>
    <row r="421">
      <c r="C421" s="2" t="s">
        <v>572</v>
      </c>
      <c r="D421" s="2" t="s">
        <v>572</v>
      </c>
      <c r="E421" s="2"/>
    </row>
    <row r="422">
      <c r="C422" s="2" t="s">
        <v>572</v>
      </c>
      <c r="D422" s="2" t="s">
        <v>572</v>
      </c>
      <c r="E422" s="2"/>
    </row>
    <row r="423">
      <c r="C423" s="2" t="s">
        <v>572</v>
      </c>
      <c r="D423" s="2" t="s">
        <v>572</v>
      </c>
      <c r="E423" s="2"/>
    </row>
    <row r="424">
      <c r="C424" s="2" t="s">
        <v>572</v>
      </c>
      <c r="D424" s="2" t="s">
        <v>572</v>
      </c>
      <c r="E424" s="2"/>
    </row>
    <row r="425">
      <c r="C425" s="2" t="s">
        <v>572</v>
      </c>
      <c r="D425" s="2" t="s">
        <v>572</v>
      </c>
      <c r="E425" s="2"/>
    </row>
    <row r="426">
      <c r="C426" s="2" t="s">
        <v>572</v>
      </c>
      <c r="D426" s="2" t="s">
        <v>572</v>
      </c>
      <c r="E426" s="2"/>
    </row>
    <row r="427">
      <c r="C427" s="2" t="s">
        <v>572</v>
      </c>
      <c r="D427" s="2" t="s">
        <v>572</v>
      </c>
      <c r="E427" s="2"/>
    </row>
    <row r="428">
      <c r="C428" s="2" t="s">
        <v>572</v>
      </c>
      <c r="D428" s="2" t="s">
        <v>572</v>
      </c>
      <c r="E428" s="2"/>
    </row>
    <row r="429">
      <c r="C429" s="2" t="s">
        <v>572</v>
      </c>
      <c r="D429" s="2" t="s">
        <v>572</v>
      </c>
      <c r="E429" s="2"/>
    </row>
    <row r="430">
      <c r="C430" s="2" t="s">
        <v>572</v>
      </c>
      <c r="D430" s="2" t="s">
        <v>572</v>
      </c>
      <c r="E430" s="2"/>
    </row>
    <row r="431">
      <c r="C431" s="2" t="s">
        <v>572</v>
      </c>
      <c r="D431" s="2" t="s">
        <v>572</v>
      </c>
      <c r="E431" s="2"/>
    </row>
    <row r="432">
      <c r="C432" s="2" t="s">
        <v>572</v>
      </c>
      <c r="D432" s="2" t="s">
        <v>572</v>
      </c>
      <c r="E432" s="2"/>
    </row>
    <row r="433">
      <c r="C433" s="2" t="s">
        <v>572</v>
      </c>
      <c r="D433" s="2" t="s">
        <v>572</v>
      </c>
      <c r="E433" s="2"/>
    </row>
    <row r="434">
      <c r="C434" s="2" t="s">
        <v>572</v>
      </c>
      <c r="D434" s="2" t="s">
        <v>572</v>
      </c>
      <c r="E434" s="2"/>
    </row>
    <row r="435">
      <c r="C435" s="2" t="s">
        <v>572</v>
      </c>
      <c r="D435" s="2" t="s">
        <v>572</v>
      </c>
      <c r="E435" s="2"/>
    </row>
    <row r="436">
      <c r="C436" s="2" t="s">
        <v>572</v>
      </c>
      <c r="D436" s="2" t="s">
        <v>572</v>
      </c>
      <c r="E436" s="2"/>
    </row>
    <row r="437">
      <c r="C437" s="2" t="s">
        <v>572</v>
      </c>
      <c r="D437" s="2" t="s">
        <v>572</v>
      </c>
      <c r="E437" s="2"/>
    </row>
    <row r="438">
      <c r="C438" s="2" t="s">
        <v>572</v>
      </c>
      <c r="D438" s="2" t="s">
        <v>572</v>
      </c>
      <c r="E438" s="2"/>
    </row>
    <row r="439">
      <c r="C439" s="2" t="s">
        <v>572</v>
      </c>
      <c r="D439" s="2" t="s">
        <v>572</v>
      </c>
      <c r="E439" s="2"/>
    </row>
    <row r="440">
      <c r="C440" s="2" t="s">
        <v>572</v>
      </c>
      <c r="D440" s="2" t="s">
        <v>572</v>
      </c>
      <c r="E440" s="2"/>
    </row>
    <row r="441">
      <c r="C441" s="2" t="s">
        <v>572</v>
      </c>
      <c r="D441" s="2" t="s">
        <v>572</v>
      </c>
      <c r="E441" s="2"/>
    </row>
    <row r="442">
      <c r="C442" s="2" t="s">
        <v>572</v>
      </c>
      <c r="D442" s="2" t="s">
        <v>572</v>
      </c>
      <c r="E442" s="2"/>
    </row>
    <row r="443">
      <c r="C443" s="2" t="s">
        <v>572</v>
      </c>
      <c r="D443" s="2" t="s">
        <v>572</v>
      </c>
      <c r="E443" s="2"/>
    </row>
    <row r="444">
      <c r="C444" s="2" t="s">
        <v>572</v>
      </c>
      <c r="D444" s="2" t="s">
        <v>572</v>
      </c>
      <c r="E444" s="2"/>
    </row>
    <row r="445">
      <c r="C445" s="2" t="s">
        <v>572</v>
      </c>
      <c r="D445" s="2" t="s">
        <v>572</v>
      </c>
      <c r="E445" s="2"/>
    </row>
    <row r="446">
      <c r="C446" s="2" t="s">
        <v>572</v>
      </c>
      <c r="D446" s="2" t="s">
        <v>572</v>
      </c>
      <c r="E446" s="2"/>
    </row>
    <row r="447">
      <c r="C447" s="2" t="s">
        <v>572</v>
      </c>
      <c r="D447" s="2" t="s">
        <v>572</v>
      </c>
      <c r="E447" s="2"/>
    </row>
    <row r="448">
      <c r="C448" s="2" t="s">
        <v>572</v>
      </c>
      <c r="D448" s="2" t="s">
        <v>572</v>
      </c>
      <c r="E448" s="2"/>
    </row>
    <row r="449">
      <c r="C449" s="2" t="s">
        <v>572</v>
      </c>
      <c r="D449" s="2" t="s">
        <v>572</v>
      </c>
      <c r="E449" s="2"/>
    </row>
    <row r="450">
      <c r="C450" s="2" t="s">
        <v>572</v>
      </c>
      <c r="D450" s="2" t="s">
        <v>572</v>
      </c>
      <c r="E450" s="2"/>
    </row>
    <row r="451">
      <c r="C451" s="2" t="s">
        <v>572</v>
      </c>
      <c r="D451" s="2" t="s">
        <v>572</v>
      </c>
      <c r="E451" s="2"/>
    </row>
    <row r="452">
      <c r="C452" s="2" t="s">
        <v>572</v>
      </c>
      <c r="D452" s="2" t="s">
        <v>572</v>
      </c>
      <c r="E452" s="2"/>
    </row>
    <row r="453">
      <c r="C453" s="2" t="s">
        <v>572</v>
      </c>
      <c r="D453" s="2" t="s">
        <v>572</v>
      </c>
      <c r="E453" s="2"/>
    </row>
    <row r="454">
      <c r="C454" s="2" t="s">
        <v>572</v>
      </c>
      <c r="D454" s="2" t="s">
        <v>572</v>
      </c>
      <c r="E454" s="2"/>
    </row>
    <row r="455">
      <c r="C455" s="2" t="s">
        <v>572</v>
      </c>
      <c r="D455" s="2" t="s">
        <v>572</v>
      </c>
      <c r="E455" s="2"/>
    </row>
    <row r="456">
      <c r="C456" s="2" t="s">
        <v>572</v>
      </c>
      <c r="D456" s="2" t="s">
        <v>572</v>
      </c>
      <c r="E456" s="2"/>
    </row>
    <row r="457">
      <c r="C457" s="2" t="s">
        <v>572</v>
      </c>
      <c r="D457" s="2" t="s">
        <v>572</v>
      </c>
      <c r="E457" s="2"/>
    </row>
    <row r="458">
      <c r="C458" s="2" t="s">
        <v>572</v>
      </c>
      <c r="D458" s="2" t="s">
        <v>572</v>
      </c>
      <c r="E458" s="2"/>
    </row>
    <row r="459">
      <c r="C459" s="2" t="s">
        <v>572</v>
      </c>
      <c r="D459" s="2" t="s">
        <v>572</v>
      </c>
      <c r="E459" s="2"/>
    </row>
    <row r="460">
      <c r="C460" s="2" t="s">
        <v>572</v>
      </c>
      <c r="D460" s="2" t="s">
        <v>572</v>
      </c>
      <c r="E460" s="2"/>
    </row>
    <row r="461">
      <c r="C461" s="2" t="s">
        <v>572</v>
      </c>
      <c r="D461" s="2" t="s">
        <v>572</v>
      </c>
      <c r="E461" s="2"/>
    </row>
    <row r="462">
      <c r="C462" s="2" t="s">
        <v>572</v>
      </c>
      <c r="D462" s="2" t="s">
        <v>572</v>
      </c>
      <c r="E462" s="2"/>
    </row>
    <row r="463">
      <c r="C463" s="2" t="s">
        <v>572</v>
      </c>
      <c r="D463" s="2" t="s">
        <v>572</v>
      </c>
      <c r="E463" s="2"/>
    </row>
    <row r="464">
      <c r="C464" s="2" t="s">
        <v>572</v>
      </c>
      <c r="D464" s="2" t="s">
        <v>572</v>
      </c>
      <c r="E464" s="2"/>
    </row>
    <row r="465">
      <c r="C465" s="2" t="s">
        <v>572</v>
      </c>
      <c r="D465" s="2" t="s">
        <v>572</v>
      </c>
      <c r="E465" s="2"/>
    </row>
    <row r="466">
      <c r="C466" s="2" t="s">
        <v>572</v>
      </c>
      <c r="D466" s="2" t="s">
        <v>572</v>
      </c>
      <c r="E466" s="2"/>
    </row>
    <row r="467">
      <c r="C467" s="2" t="s">
        <v>572</v>
      </c>
      <c r="D467" s="2" t="s">
        <v>572</v>
      </c>
      <c r="E467" s="2"/>
    </row>
    <row r="468">
      <c r="C468" s="2" t="s">
        <v>572</v>
      </c>
      <c r="D468" s="2" t="s">
        <v>572</v>
      </c>
      <c r="E468" s="2"/>
    </row>
    <row r="469">
      <c r="C469" s="2" t="s">
        <v>572</v>
      </c>
      <c r="D469" s="2" t="s">
        <v>572</v>
      </c>
      <c r="E469" s="2"/>
    </row>
    <row r="470">
      <c r="C470" s="2" t="s">
        <v>572</v>
      </c>
      <c r="D470" s="2" t="s">
        <v>572</v>
      </c>
      <c r="E470" s="2"/>
    </row>
    <row r="471">
      <c r="C471" s="2" t="s">
        <v>572</v>
      </c>
      <c r="D471" s="2" t="s">
        <v>572</v>
      </c>
      <c r="E471" s="2"/>
    </row>
    <row r="472">
      <c r="C472" s="2" t="s">
        <v>572</v>
      </c>
      <c r="D472" s="2" t="s">
        <v>572</v>
      </c>
      <c r="E472" s="2"/>
    </row>
    <row r="473">
      <c r="C473" s="2" t="s">
        <v>572</v>
      </c>
      <c r="D473" s="2" t="s">
        <v>572</v>
      </c>
      <c r="E473" s="2"/>
    </row>
    <row r="474">
      <c r="C474" s="2" t="s">
        <v>572</v>
      </c>
      <c r="D474" s="2" t="s">
        <v>572</v>
      </c>
      <c r="E474" s="2"/>
    </row>
    <row r="475">
      <c r="C475" s="2" t="s">
        <v>572</v>
      </c>
      <c r="D475" s="2" t="s">
        <v>572</v>
      </c>
      <c r="E475" s="2"/>
    </row>
    <row r="476">
      <c r="C476" s="2" t="s">
        <v>572</v>
      </c>
      <c r="D476" s="2" t="s">
        <v>572</v>
      </c>
      <c r="E476" s="2"/>
    </row>
    <row r="477">
      <c r="C477" s="2" t="s">
        <v>572</v>
      </c>
      <c r="D477" s="2" t="s">
        <v>572</v>
      </c>
      <c r="E477" s="2"/>
    </row>
    <row r="478">
      <c r="C478" s="2" t="s">
        <v>572</v>
      </c>
      <c r="D478" s="2" t="s">
        <v>572</v>
      </c>
      <c r="E478" s="2"/>
    </row>
    <row r="479">
      <c r="C479" s="2" t="s">
        <v>572</v>
      </c>
      <c r="D479" s="2" t="s">
        <v>572</v>
      </c>
      <c r="E479" s="2"/>
    </row>
    <row r="480">
      <c r="C480" s="2" t="s">
        <v>572</v>
      </c>
      <c r="D480" s="2" t="s">
        <v>572</v>
      </c>
      <c r="E480" s="2"/>
    </row>
    <row r="481">
      <c r="C481" s="2" t="s">
        <v>572</v>
      </c>
      <c r="D481" s="2" t="s">
        <v>572</v>
      </c>
      <c r="E481" s="2"/>
    </row>
    <row r="482">
      <c r="C482" s="2" t="s">
        <v>572</v>
      </c>
      <c r="D482" s="2" t="s">
        <v>572</v>
      </c>
      <c r="E482" s="2"/>
    </row>
    <row r="483">
      <c r="C483" s="2" t="s">
        <v>572</v>
      </c>
      <c r="D483" s="2" t="s">
        <v>572</v>
      </c>
      <c r="E483" s="2"/>
    </row>
    <row r="484">
      <c r="C484" s="2" t="s">
        <v>572</v>
      </c>
      <c r="D484" s="2" t="s">
        <v>572</v>
      </c>
      <c r="E484" s="2"/>
    </row>
    <row r="485">
      <c r="C485" s="2" t="s">
        <v>572</v>
      </c>
      <c r="D485" s="2" t="s">
        <v>572</v>
      </c>
      <c r="E485" s="2"/>
    </row>
    <row r="486">
      <c r="C486" s="2" t="s">
        <v>572</v>
      </c>
      <c r="D486" s="2" t="s">
        <v>572</v>
      </c>
      <c r="E486" s="2"/>
    </row>
    <row r="487">
      <c r="C487" s="2" t="s">
        <v>572</v>
      </c>
      <c r="D487" s="2" t="s">
        <v>572</v>
      </c>
      <c r="E487" s="2"/>
    </row>
    <row r="488">
      <c r="C488" s="2" t="s">
        <v>572</v>
      </c>
      <c r="D488" s="2" t="s">
        <v>572</v>
      </c>
      <c r="E488" s="2"/>
    </row>
    <row r="489">
      <c r="C489" s="2" t="s">
        <v>572</v>
      </c>
      <c r="D489" s="2" t="s">
        <v>572</v>
      </c>
      <c r="E489" s="2"/>
    </row>
    <row r="490">
      <c r="C490" s="2" t="s">
        <v>572</v>
      </c>
      <c r="D490" s="2" t="s">
        <v>572</v>
      </c>
      <c r="E490" s="2"/>
    </row>
    <row r="491">
      <c r="C491" s="2" t="s">
        <v>572</v>
      </c>
      <c r="D491" s="2" t="s">
        <v>572</v>
      </c>
      <c r="E491" s="2"/>
    </row>
    <row r="492">
      <c r="C492" s="2" t="s">
        <v>572</v>
      </c>
      <c r="D492" s="2" t="s">
        <v>572</v>
      </c>
      <c r="E492" s="2"/>
    </row>
    <row r="493">
      <c r="C493" s="2" t="s">
        <v>572</v>
      </c>
      <c r="D493" s="2" t="s">
        <v>572</v>
      </c>
      <c r="E493" s="2"/>
    </row>
    <row r="494">
      <c r="C494" s="2" t="s">
        <v>572</v>
      </c>
      <c r="D494" s="2" t="s">
        <v>572</v>
      </c>
      <c r="E494" s="2"/>
    </row>
    <row r="495">
      <c r="C495" s="2" t="s">
        <v>572</v>
      </c>
      <c r="D495" s="2" t="s">
        <v>572</v>
      </c>
      <c r="E495" s="2"/>
    </row>
    <row r="496">
      <c r="C496" s="2" t="s">
        <v>572</v>
      </c>
      <c r="D496" s="2" t="s">
        <v>572</v>
      </c>
      <c r="E496" s="2"/>
    </row>
    <row r="497">
      <c r="C497" s="2" t="s">
        <v>572</v>
      </c>
      <c r="D497" s="2" t="s">
        <v>572</v>
      </c>
      <c r="E497" s="2"/>
    </row>
    <row r="498">
      <c r="C498" s="2" t="s">
        <v>572</v>
      </c>
      <c r="D498" s="2" t="s">
        <v>572</v>
      </c>
      <c r="E498" s="2"/>
    </row>
    <row r="499">
      <c r="C499" s="2" t="s">
        <v>572</v>
      </c>
      <c r="D499" s="2" t="s">
        <v>572</v>
      </c>
      <c r="E499" s="2"/>
    </row>
    <row r="500">
      <c r="C500" s="2" t="s">
        <v>572</v>
      </c>
      <c r="D500" s="2" t="s">
        <v>572</v>
      </c>
      <c r="E500" s="2"/>
    </row>
    <row r="501">
      <c r="C501" s="2" t="s">
        <v>572</v>
      </c>
      <c r="D501" s="2" t="s">
        <v>572</v>
      </c>
      <c r="E501" s="2"/>
    </row>
    <row r="502">
      <c r="C502" s="2" t="s">
        <v>572</v>
      </c>
      <c r="D502" s="2" t="s">
        <v>572</v>
      </c>
      <c r="E502" s="2"/>
    </row>
    <row r="503">
      <c r="C503" s="2" t="s">
        <v>572</v>
      </c>
      <c r="D503" s="2" t="s">
        <v>572</v>
      </c>
      <c r="E503" s="2"/>
    </row>
    <row r="504">
      <c r="C504" s="2" t="s">
        <v>572</v>
      </c>
      <c r="D504" s="2" t="s">
        <v>572</v>
      </c>
      <c r="E504" s="2"/>
    </row>
    <row r="505">
      <c r="C505" s="2" t="s">
        <v>572</v>
      </c>
      <c r="D505" s="2" t="s">
        <v>572</v>
      </c>
      <c r="E505" s="2"/>
    </row>
    <row r="506">
      <c r="C506" s="2" t="s">
        <v>572</v>
      </c>
      <c r="D506" s="2" t="s">
        <v>572</v>
      </c>
      <c r="E506" s="2"/>
    </row>
    <row r="507">
      <c r="C507" s="2" t="s">
        <v>572</v>
      </c>
      <c r="D507" s="2" t="s">
        <v>572</v>
      </c>
      <c r="E507" s="2"/>
    </row>
    <row r="508">
      <c r="C508" s="2" t="s">
        <v>572</v>
      </c>
      <c r="D508" s="2" t="s">
        <v>572</v>
      </c>
      <c r="E508" s="2"/>
    </row>
    <row r="509">
      <c r="C509" s="2" t="s">
        <v>572</v>
      </c>
      <c r="D509" s="2" t="s">
        <v>572</v>
      </c>
      <c r="E509" s="2"/>
    </row>
    <row r="510">
      <c r="C510" s="2" t="s">
        <v>572</v>
      </c>
      <c r="D510" s="2" t="s">
        <v>572</v>
      </c>
      <c r="E510" s="2"/>
    </row>
    <row r="511">
      <c r="C511" s="2" t="s">
        <v>572</v>
      </c>
      <c r="D511" s="2" t="s">
        <v>572</v>
      </c>
      <c r="E511" s="2"/>
    </row>
    <row r="512">
      <c r="C512" s="2" t="s">
        <v>572</v>
      </c>
      <c r="D512" s="2" t="s">
        <v>572</v>
      </c>
      <c r="E512" s="2"/>
    </row>
    <row r="513">
      <c r="C513" s="2" t="s">
        <v>572</v>
      </c>
      <c r="D513" s="2" t="s">
        <v>572</v>
      </c>
      <c r="E513" s="2"/>
    </row>
    <row r="514">
      <c r="C514" s="2" t="s">
        <v>572</v>
      </c>
      <c r="D514" s="2" t="s">
        <v>572</v>
      </c>
      <c r="E514" s="2"/>
    </row>
    <row r="515">
      <c r="C515" s="2" t="s">
        <v>572</v>
      </c>
      <c r="D515" s="2" t="s">
        <v>572</v>
      </c>
      <c r="E515" s="2"/>
    </row>
    <row r="516">
      <c r="C516" s="2" t="s">
        <v>572</v>
      </c>
      <c r="D516" s="2" t="s">
        <v>572</v>
      </c>
      <c r="E516" s="2"/>
    </row>
    <row r="517">
      <c r="C517" s="2" t="s">
        <v>572</v>
      </c>
      <c r="D517" s="2" t="s">
        <v>572</v>
      </c>
      <c r="E517" s="2"/>
    </row>
    <row r="518">
      <c r="C518" s="2" t="s">
        <v>572</v>
      </c>
      <c r="D518" s="2" t="s">
        <v>572</v>
      </c>
      <c r="E518" s="2"/>
    </row>
    <row r="519">
      <c r="C519" s="2" t="s">
        <v>572</v>
      </c>
      <c r="D519" s="2" t="s">
        <v>572</v>
      </c>
      <c r="E519" s="2"/>
    </row>
    <row r="520">
      <c r="C520" s="2" t="s">
        <v>572</v>
      </c>
      <c r="D520" s="2" t="s">
        <v>572</v>
      </c>
      <c r="E520" s="2"/>
    </row>
    <row r="521">
      <c r="C521" s="2" t="s">
        <v>572</v>
      </c>
      <c r="D521" s="2" t="s">
        <v>572</v>
      </c>
      <c r="E521" s="2"/>
    </row>
    <row r="522">
      <c r="C522" s="2" t="s">
        <v>572</v>
      </c>
      <c r="D522" s="2" t="s">
        <v>572</v>
      </c>
      <c r="E522" s="2"/>
    </row>
    <row r="523">
      <c r="C523" s="2" t="s">
        <v>572</v>
      </c>
      <c r="D523" s="2" t="s">
        <v>572</v>
      </c>
      <c r="E523" s="2"/>
    </row>
    <row r="524">
      <c r="C524" s="2" t="s">
        <v>572</v>
      </c>
      <c r="D524" s="2" t="s">
        <v>572</v>
      </c>
      <c r="E524" s="2"/>
    </row>
    <row r="525">
      <c r="C525" s="2" t="s">
        <v>572</v>
      </c>
      <c r="D525" s="2" t="s">
        <v>572</v>
      </c>
      <c r="E525" s="2"/>
    </row>
    <row r="526">
      <c r="C526" s="2" t="s">
        <v>572</v>
      </c>
      <c r="D526" s="2" t="s">
        <v>572</v>
      </c>
      <c r="E526" s="2"/>
    </row>
    <row r="527">
      <c r="C527" s="2" t="s">
        <v>572</v>
      </c>
      <c r="D527" s="2" t="s">
        <v>572</v>
      </c>
      <c r="E527" s="2"/>
    </row>
    <row r="528">
      <c r="C528" s="2" t="s">
        <v>572</v>
      </c>
      <c r="D528" s="2" t="s">
        <v>572</v>
      </c>
      <c r="E528" s="2"/>
    </row>
    <row r="529">
      <c r="C529" s="2" t="s">
        <v>572</v>
      </c>
      <c r="D529" s="2" t="s">
        <v>572</v>
      </c>
      <c r="E529" s="2"/>
    </row>
    <row r="530">
      <c r="C530" s="2" t="s">
        <v>572</v>
      </c>
      <c r="D530" s="2" t="s">
        <v>572</v>
      </c>
      <c r="E530" s="2"/>
    </row>
    <row r="531">
      <c r="C531" s="2" t="s">
        <v>572</v>
      </c>
      <c r="D531" s="2" t="s">
        <v>572</v>
      </c>
      <c r="E531" s="2"/>
    </row>
    <row r="532">
      <c r="C532" s="2" t="s">
        <v>572</v>
      </c>
      <c r="D532" s="2" t="s">
        <v>572</v>
      </c>
      <c r="E532" s="2"/>
    </row>
    <row r="533">
      <c r="C533" s="2" t="s">
        <v>572</v>
      </c>
      <c r="D533" s="2" t="s">
        <v>572</v>
      </c>
      <c r="E533" s="2"/>
    </row>
    <row r="534">
      <c r="C534" s="2" t="s">
        <v>572</v>
      </c>
      <c r="D534" s="2" t="s">
        <v>572</v>
      </c>
      <c r="E534" s="2"/>
    </row>
    <row r="535">
      <c r="C535" s="2" t="s">
        <v>572</v>
      </c>
      <c r="D535" s="2" t="s">
        <v>572</v>
      </c>
      <c r="E535" s="2"/>
    </row>
    <row r="536">
      <c r="C536" s="2" t="s">
        <v>572</v>
      </c>
      <c r="D536" s="2" t="s">
        <v>572</v>
      </c>
      <c r="E536" s="2"/>
    </row>
    <row r="537">
      <c r="C537" s="2" t="s">
        <v>572</v>
      </c>
      <c r="D537" s="2" t="s">
        <v>572</v>
      </c>
      <c r="E537" s="2"/>
    </row>
    <row r="538">
      <c r="C538" s="2" t="s">
        <v>572</v>
      </c>
      <c r="D538" s="2" t="s">
        <v>572</v>
      </c>
      <c r="E538" s="2"/>
    </row>
    <row r="539">
      <c r="C539" s="2" t="s">
        <v>572</v>
      </c>
      <c r="D539" s="2" t="s">
        <v>572</v>
      </c>
      <c r="E539" s="2"/>
    </row>
    <row r="540">
      <c r="C540" s="2" t="s">
        <v>572</v>
      </c>
      <c r="D540" s="2" t="s">
        <v>572</v>
      </c>
      <c r="E540" s="2"/>
    </row>
    <row r="541">
      <c r="C541" s="2" t="s">
        <v>572</v>
      </c>
      <c r="D541" s="2" t="s">
        <v>572</v>
      </c>
      <c r="E541" s="2"/>
    </row>
    <row r="542">
      <c r="C542" s="2" t="s">
        <v>572</v>
      </c>
      <c r="D542" s="2" t="s">
        <v>572</v>
      </c>
      <c r="E542" s="2"/>
    </row>
    <row r="543">
      <c r="C543" s="2" t="s">
        <v>572</v>
      </c>
      <c r="D543" s="2" t="s">
        <v>572</v>
      </c>
      <c r="E543" s="2"/>
    </row>
    <row r="544">
      <c r="C544" s="2" t="s">
        <v>572</v>
      </c>
      <c r="D544" s="2" t="s">
        <v>572</v>
      </c>
      <c r="E544" s="2"/>
    </row>
    <row r="545">
      <c r="C545" s="2" t="s">
        <v>572</v>
      </c>
      <c r="D545" s="2" t="s">
        <v>572</v>
      </c>
      <c r="E545" s="2"/>
    </row>
    <row r="546">
      <c r="C546" s="2" t="s">
        <v>572</v>
      </c>
      <c r="D546" s="2" t="s">
        <v>572</v>
      </c>
      <c r="E546" s="2"/>
    </row>
    <row r="547">
      <c r="C547" s="2" t="s">
        <v>572</v>
      </c>
      <c r="D547" s="2" t="s">
        <v>572</v>
      </c>
      <c r="E547" s="2"/>
    </row>
    <row r="548">
      <c r="C548" s="2" t="s">
        <v>572</v>
      </c>
      <c r="D548" s="2" t="s">
        <v>572</v>
      </c>
      <c r="E548" s="2"/>
    </row>
    <row r="549">
      <c r="C549" s="2" t="s">
        <v>572</v>
      </c>
      <c r="D549" s="2" t="s">
        <v>572</v>
      </c>
      <c r="E549" s="2"/>
    </row>
    <row r="550">
      <c r="C550" s="2" t="s">
        <v>572</v>
      </c>
      <c r="D550" s="2" t="s">
        <v>572</v>
      </c>
      <c r="E550" s="2"/>
    </row>
    <row r="551">
      <c r="C551" s="2" t="s">
        <v>572</v>
      </c>
      <c r="D551" s="2" t="s">
        <v>572</v>
      </c>
      <c r="E551" s="2"/>
    </row>
    <row r="552">
      <c r="C552" s="2" t="s">
        <v>572</v>
      </c>
      <c r="D552" s="2" t="s">
        <v>572</v>
      </c>
      <c r="E552" s="2"/>
    </row>
    <row r="553">
      <c r="C553" s="2" t="s">
        <v>572</v>
      </c>
      <c r="D553" s="2" t="s">
        <v>572</v>
      </c>
      <c r="E553" s="2"/>
    </row>
    <row r="554">
      <c r="C554" s="2" t="s">
        <v>572</v>
      </c>
      <c r="D554" s="2" t="s">
        <v>572</v>
      </c>
      <c r="E554" s="2"/>
    </row>
    <row r="555">
      <c r="C555" s="2" t="s">
        <v>572</v>
      </c>
      <c r="D555" s="2" t="s">
        <v>572</v>
      </c>
      <c r="E555" s="2"/>
    </row>
    <row r="556">
      <c r="C556" s="2" t="s">
        <v>572</v>
      </c>
      <c r="D556" s="2" t="s">
        <v>572</v>
      </c>
      <c r="E556" s="2"/>
    </row>
    <row r="557">
      <c r="C557" s="2" t="s">
        <v>572</v>
      </c>
      <c r="D557" s="2" t="s">
        <v>572</v>
      </c>
      <c r="E557" s="2"/>
    </row>
    <row r="558">
      <c r="C558" s="2" t="s">
        <v>572</v>
      </c>
      <c r="D558" s="2" t="s">
        <v>572</v>
      </c>
      <c r="E558" s="2"/>
    </row>
    <row r="559">
      <c r="C559" s="2" t="s">
        <v>572</v>
      </c>
      <c r="D559" s="2" t="s">
        <v>572</v>
      </c>
      <c r="E559" s="2"/>
    </row>
    <row r="560">
      <c r="C560" s="2" t="s">
        <v>572</v>
      </c>
      <c r="D560" s="2" t="s">
        <v>572</v>
      </c>
      <c r="E560" s="2"/>
    </row>
    <row r="561">
      <c r="C561" s="2" t="s">
        <v>572</v>
      </c>
      <c r="D561" s="2" t="s">
        <v>572</v>
      </c>
      <c r="E561" s="2"/>
    </row>
    <row r="562">
      <c r="C562" s="2" t="s">
        <v>572</v>
      </c>
      <c r="D562" s="2" t="s">
        <v>572</v>
      </c>
      <c r="E562" s="2"/>
    </row>
    <row r="563">
      <c r="C563" s="2" t="s">
        <v>572</v>
      </c>
      <c r="D563" s="2" t="s">
        <v>572</v>
      </c>
      <c r="E563" s="2"/>
    </row>
    <row r="564">
      <c r="C564" s="2" t="s">
        <v>572</v>
      </c>
      <c r="D564" s="2" t="s">
        <v>572</v>
      </c>
      <c r="E564" s="2"/>
    </row>
    <row r="565">
      <c r="C565" s="2" t="s">
        <v>572</v>
      </c>
      <c r="D565" s="2" t="s">
        <v>572</v>
      </c>
      <c r="E565" s="2"/>
    </row>
    <row r="566">
      <c r="C566" s="2" t="s">
        <v>572</v>
      </c>
      <c r="D566" s="2" t="s">
        <v>572</v>
      </c>
      <c r="E566" s="2"/>
    </row>
    <row r="567">
      <c r="C567" s="2" t="s">
        <v>572</v>
      </c>
      <c r="D567" s="2" t="s">
        <v>572</v>
      </c>
      <c r="E567" s="2"/>
    </row>
    <row r="568">
      <c r="C568" s="2" t="s">
        <v>572</v>
      </c>
      <c r="D568" s="2" t="s">
        <v>572</v>
      </c>
      <c r="E568" s="2"/>
    </row>
    <row r="569">
      <c r="C569" s="2" t="s">
        <v>572</v>
      </c>
      <c r="D569" s="2" t="s">
        <v>572</v>
      </c>
      <c r="E569" s="2"/>
    </row>
    <row r="570">
      <c r="C570" s="2" t="s">
        <v>572</v>
      </c>
      <c r="D570" s="2" t="s">
        <v>572</v>
      </c>
      <c r="E570" s="2"/>
    </row>
    <row r="571">
      <c r="C571" s="2" t="s">
        <v>572</v>
      </c>
      <c r="D571" s="2" t="s">
        <v>572</v>
      </c>
      <c r="E571" s="2"/>
    </row>
    <row r="572">
      <c r="C572" s="2" t="s">
        <v>572</v>
      </c>
      <c r="D572" s="2" t="s">
        <v>572</v>
      </c>
      <c r="E572" s="2"/>
    </row>
    <row r="573">
      <c r="C573" s="2" t="s">
        <v>572</v>
      </c>
      <c r="D573" s="2" t="s">
        <v>572</v>
      </c>
      <c r="E573" s="2"/>
    </row>
    <row r="574">
      <c r="C574" s="2" t="s">
        <v>572</v>
      </c>
      <c r="D574" s="2" t="s">
        <v>572</v>
      </c>
      <c r="E574" s="2"/>
    </row>
    <row r="575">
      <c r="C575" s="2" t="s">
        <v>572</v>
      </c>
      <c r="D575" s="2" t="s">
        <v>572</v>
      </c>
      <c r="E575" s="2"/>
    </row>
    <row r="576">
      <c r="C576" s="2" t="s">
        <v>572</v>
      </c>
      <c r="D576" s="2" t="s">
        <v>572</v>
      </c>
      <c r="E576" s="2"/>
    </row>
    <row r="577">
      <c r="C577" s="2" t="s">
        <v>572</v>
      </c>
      <c r="D577" s="2" t="s">
        <v>572</v>
      </c>
      <c r="E577" s="2"/>
    </row>
    <row r="578">
      <c r="C578" s="2" t="s">
        <v>572</v>
      </c>
      <c r="D578" s="2" t="s">
        <v>572</v>
      </c>
      <c r="E578" s="2"/>
    </row>
    <row r="579">
      <c r="C579" s="2" t="s">
        <v>572</v>
      </c>
      <c r="D579" s="2" t="s">
        <v>572</v>
      </c>
      <c r="E579" s="2"/>
    </row>
    <row r="580">
      <c r="C580" s="2" t="s">
        <v>572</v>
      </c>
      <c r="D580" s="2" t="s">
        <v>572</v>
      </c>
      <c r="E580" s="2"/>
    </row>
    <row r="581">
      <c r="C581" s="2" t="s">
        <v>572</v>
      </c>
      <c r="D581" s="2" t="s">
        <v>572</v>
      </c>
      <c r="E581" s="2"/>
    </row>
    <row r="582">
      <c r="C582" s="2" t="s">
        <v>572</v>
      </c>
      <c r="D582" s="2" t="s">
        <v>572</v>
      </c>
      <c r="E582" s="2"/>
    </row>
    <row r="583">
      <c r="C583" s="2" t="s">
        <v>572</v>
      </c>
      <c r="D583" s="2" t="s">
        <v>572</v>
      </c>
      <c r="E583" s="2"/>
    </row>
    <row r="584">
      <c r="C584" s="2" t="s">
        <v>572</v>
      </c>
      <c r="D584" s="2" t="s">
        <v>572</v>
      </c>
      <c r="E584" s="2"/>
    </row>
    <row r="585">
      <c r="C585" s="2" t="s">
        <v>572</v>
      </c>
      <c r="D585" s="2" t="s">
        <v>572</v>
      </c>
      <c r="E585" s="2"/>
    </row>
    <row r="586">
      <c r="C586" s="2" t="s">
        <v>572</v>
      </c>
      <c r="D586" s="2" t="s">
        <v>572</v>
      </c>
      <c r="E586" s="2"/>
    </row>
    <row r="587">
      <c r="C587" s="2" t="s">
        <v>572</v>
      </c>
      <c r="D587" s="2" t="s">
        <v>572</v>
      </c>
      <c r="E587" s="2"/>
    </row>
    <row r="588">
      <c r="C588" s="2" t="s">
        <v>572</v>
      </c>
      <c r="D588" s="2" t="s">
        <v>572</v>
      </c>
      <c r="E588" s="2"/>
    </row>
    <row r="589">
      <c r="C589" s="2" t="s">
        <v>572</v>
      </c>
      <c r="D589" s="2" t="s">
        <v>572</v>
      </c>
      <c r="E589" s="2"/>
    </row>
    <row r="590">
      <c r="C590" s="2" t="s">
        <v>572</v>
      </c>
      <c r="D590" s="2" t="s">
        <v>572</v>
      </c>
      <c r="E590" s="2"/>
    </row>
    <row r="591">
      <c r="C591" s="2" t="s">
        <v>572</v>
      </c>
      <c r="D591" s="2" t="s">
        <v>572</v>
      </c>
      <c r="E591" s="2"/>
    </row>
    <row r="592">
      <c r="C592" s="2" t="s">
        <v>572</v>
      </c>
      <c r="D592" s="2" t="s">
        <v>572</v>
      </c>
      <c r="E592" s="2"/>
    </row>
    <row r="593">
      <c r="C593" s="2" t="s">
        <v>572</v>
      </c>
      <c r="D593" s="2" t="s">
        <v>572</v>
      </c>
      <c r="E593" s="2"/>
    </row>
    <row r="594">
      <c r="C594" s="2" t="s">
        <v>572</v>
      </c>
      <c r="D594" s="2" t="s">
        <v>572</v>
      </c>
      <c r="E594" s="2"/>
    </row>
    <row r="595">
      <c r="C595" s="2" t="s">
        <v>572</v>
      </c>
      <c r="D595" s="2" t="s">
        <v>572</v>
      </c>
      <c r="E595" s="2"/>
    </row>
    <row r="596">
      <c r="C596" s="2" t="s">
        <v>572</v>
      </c>
      <c r="D596" s="2" t="s">
        <v>572</v>
      </c>
      <c r="E596" s="2"/>
    </row>
    <row r="597">
      <c r="C597" s="2" t="s">
        <v>572</v>
      </c>
      <c r="D597" s="2" t="s">
        <v>572</v>
      </c>
      <c r="E597" s="2"/>
    </row>
    <row r="598">
      <c r="C598" s="2" t="s">
        <v>572</v>
      </c>
      <c r="D598" s="2" t="s">
        <v>572</v>
      </c>
      <c r="E598" s="2"/>
    </row>
    <row r="599">
      <c r="C599" s="2" t="s">
        <v>572</v>
      </c>
      <c r="D599" s="2" t="s">
        <v>572</v>
      </c>
      <c r="E599" s="2"/>
    </row>
    <row r="600">
      <c r="C600" s="2" t="s">
        <v>572</v>
      </c>
      <c r="D600" s="2" t="s">
        <v>572</v>
      </c>
      <c r="E600" s="2"/>
    </row>
    <row r="601">
      <c r="C601" s="2" t="s">
        <v>572</v>
      </c>
      <c r="D601" s="2" t="s">
        <v>572</v>
      </c>
      <c r="E601" s="2"/>
    </row>
    <row r="602">
      <c r="C602" s="2" t="s">
        <v>572</v>
      </c>
      <c r="D602" s="2" t="s">
        <v>572</v>
      </c>
      <c r="E602" s="2"/>
    </row>
    <row r="603">
      <c r="C603" s="2" t="s">
        <v>572</v>
      </c>
      <c r="D603" s="2" t="s">
        <v>572</v>
      </c>
      <c r="E603" s="2"/>
    </row>
    <row r="604">
      <c r="C604" s="2" t="s">
        <v>572</v>
      </c>
      <c r="D604" s="2" t="s">
        <v>572</v>
      </c>
      <c r="E604" s="2"/>
    </row>
    <row r="605">
      <c r="C605" s="2" t="s">
        <v>572</v>
      </c>
      <c r="D605" s="2" t="s">
        <v>572</v>
      </c>
      <c r="E605" s="2"/>
    </row>
    <row r="606">
      <c r="C606" s="2" t="s">
        <v>572</v>
      </c>
      <c r="D606" s="2" t="s">
        <v>572</v>
      </c>
      <c r="E606" s="2"/>
    </row>
    <row r="607">
      <c r="C607" s="2" t="s">
        <v>572</v>
      </c>
      <c r="D607" s="2" t="s">
        <v>572</v>
      </c>
      <c r="E607" s="2"/>
    </row>
    <row r="608">
      <c r="C608" s="2" t="s">
        <v>572</v>
      </c>
      <c r="D608" s="2" t="s">
        <v>572</v>
      </c>
      <c r="E608" s="2"/>
    </row>
    <row r="609">
      <c r="C609" s="2" t="s">
        <v>572</v>
      </c>
      <c r="D609" s="2" t="s">
        <v>572</v>
      </c>
      <c r="E609" s="2"/>
    </row>
    <row r="610">
      <c r="C610" s="2" t="s">
        <v>572</v>
      </c>
      <c r="D610" s="2" t="s">
        <v>572</v>
      </c>
      <c r="E610" s="2"/>
    </row>
    <row r="611">
      <c r="C611" s="2" t="s">
        <v>572</v>
      </c>
      <c r="D611" s="2" t="s">
        <v>572</v>
      </c>
      <c r="E611" s="2"/>
    </row>
    <row r="612">
      <c r="C612" s="2" t="s">
        <v>572</v>
      </c>
      <c r="D612" s="2" t="s">
        <v>572</v>
      </c>
      <c r="E612" s="2"/>
    </row>
    <row r="613">
      <c r="C613" s="2" t="s">
        <v>572</v>
      </c>
      <c r="D613" s="2" t="s">
        <v>572</v>
      </c>
      <c r="E613" s="2"/>
    </row>
    <row r="614">
      <c r="C614" s="2" t="s">
        <v>572</v>
      </c>
      <c r="D614" s="2" t="s">
        <v>572</v>
      </c>
      <c r="E614" s="2"/>
    </row>
    <row r="615">
      <c r="C615" s="2" t="s">
        <v>572</v>
      </c>
      <c r="D615" s="2" t="s">
        <v>572</v>
      </c>
      <c r="E615" s="2"/>
    </row>
    <row r="616">
      <c r="C616" s="2" t="s">
        <v>572</v>
      </c>
      <c r="D616" s="2" t="s">
        <v>572</v>
      </c>
      <c r="E616" s="2"/>
    </row>
    <row r="617">
      <c r="C617" s="2" t="s">
        <v>572</v>
      </c>
      <c r="D617" s="2" t="s">
        <v>572</v>
      </c>
      <c r="E617" s="2"/>
    </row>
    <row r="618">
      <c r="C618" s="2" t="s">
        <v>572</v>
      </c>
      <c r="D618" s="2" t="s">
        <v>572</v>
      </c>
      <c r="E618" s="2"/>
    </row>
    <row r="619">
      <c r="C619" s="2" t="s">
        <v>572</v>
      </c>
      <c r="D619" s="2" t="s">
        <v>572</v>
      </c>
      <c r="E619" s="2"/>
    </row>
    <row r="620">
      <c r="C620" s="2" t="s">
        <v>572</v>
      </c>
      <c r="D620" s="2" t="s">
        <v>572</v>
      </c>
      <c r="E620" s="2"/>
    </row>
    <row r="621">
      <c r="C621" s="2" t="s">
        <v>572</v>
      </c>
      <c r="D621" s="2" t="s">
        <v>572</v>
      </c>
      <c r="E621" s="2"/>
    </row>
    <row r="622">
      <c r="C622" s="2" t="s">
        <v>572</v>
      </c>
      <c r="D622" s="2" t="s">
        <v>572</v>
      </c>
      <c r="E622" s="2"/>
    </row>
    <row r="623">
      <c r="C623" s="2" t="s">
        <v>572</v>
      </c>
      <c r="D623" s="2" t="s">
        <v>572</v>
      </c>
      <c r="E623" s="2"/>
    </row>
    <row r="624">
      <c r="C624" s="2" t="s">
        <v>572</v>
      </c>
      <c r="D624" s="2" t="s">
        <v>572</v>
      </c>
      <c r="E624" s="2"/>
    </row>
    <row r="625">
      <c r="C625" s="2" t="s">
        <v>572</v>
      </c>
      <c r="D625" s="2" t="s">
        <v>572</v>
      </c>
      <c r="E625" s="2"/>
    </row>
    <row r="626">
      <c r="C626" s="2" t="s">
        <v>572</v>
      </c>
      <c r="D626" s="2" t="s">
        <v>572</v>
      </c>
      <c r="E626" s="2"/>
    </row>
    <row r="627">
      <c r="C627" s="2" t="s">
        <v>572</v>
      </c>
      <c r="D627" s="2" t="s">
        <v>572</v>
      </c>
      <c r="E627" s="2"/>
    </row>
    <row r="628">
      <c r="C628" s="2" t="s">
        <v>572</v>
      </c>
      <c r="D628" s="2" t="s">
        <v>572</v>
      </c>
      <c r="E628" s="2"/>
    </row>
    <row r="629">
      <c r="C629" s="2" t="s">
        <v>572</v>
      </c>
      <c r="D629" s="2" t="s">
        <v>572</v>
      </c>
      <c r="E629" s="2"/>
    </row>
    <row r="630">
      <c r="C630" s="2" t="s">
        <v>572</v>
      </c>
      <c r="D630" s="2" t="s">
        <v>572</v>
      </c>
      <c r="E630" s="2"/>
    </row>
    <row r="631">
      <c r="C631" s="2" t="s">
        <v>572</v>
      </c>
      <c r="D631" s="2" t="s">
        <v>572</v>
      </c>
      <c r="E631" s="2"/>
    </row>
    <row r="632">
      <c r="C632" s="2" t="s">
        <v>572</v>
      </c>
      <c r="D632" s="2" t="s">
        <v>572</v>
      </c>
      <c r="E632" s="2"/>
    </row>
    <row r="633">
      <c r="C633" s="2" t="s">
        <v>572</v>
      </c>
      <c r="D633" s="2" t="s">
        <v>572</v>
      </c>
      <c r="E633" s="2"/>
    </row>
    <row r="634">
      <c r="C634" s="2" t="s">
        <v>572</v>
      </c>
      <c r="D634" s="2" t="s">
        <v>572</v>
      </c>
      <c r="E634" s="2"/>
    </row>
    <row r="635">
      <c r="C635" s="2" t="s">
        <v>572</v>
      </c>
      <c r="D635" s="2" t="s">
        <v>572</v>
      </c>
      <c r="E635" s="2"/>
    </row>
    <row r="636">
      <c r="C636" s="2" t="s">
        <v>572</v>
      </c>
      <c r="D636" s="2" t="s">
        <v>572</v>
      </c>
      <c r="E636" s="2"/>
    </row>
    <row r="637">
      <c r="C637" s="2" t="s">
        <v>572</v>
      </c>
      <c r="D637" s="2" t="s">
        <v>572</v>
      </c>
      <c r="E637" s="2"/>
    </row>
    <row r="638">
      <c r="C638" s="2" t="s">
        <v>572</v>
      </c>
      <c r="D638" s="2" t="s">
        <v>572</v>
      </c>
      <c r="E638" s="2"/>
    </row>
    <row r="639">
      <c r="C639" s="2" t="s">
        <v>572</v>
      </c>
      <c r="D639" s="2" t="s">
        <v>572</v>
      </c>
      <c r="E639" s="2"/>
    </row>
    <row r="640">
      <c r="C640" s="2" t="s">
        <v>572</v>
      </c>
      <c r="D640" s="2" t="s">
        <v>572</v>
      </c>
      <c r="E640" s="2"/>
    </row>
    <row r="641">
      <c r="C641" s="2" t="s">
        <v>572</v>
      </c>
      <c r="D641" s="2" t="s">
        <v>572</v>
      </c>
      <c r="E641" s="2"/>
    </row>
    <row r="642">
      <c r="C642" s="2" t="s">
        <v>572</v>
      </c>
      <c r="D642" s="2" t="s">
        <v>572</v>
      </c>
      <c r="E642" s="2"/>
    </row>
    <row r="643">
      <c r="C643" s="2" t="s">
        <v>572</v>
      </c>
      <c r="D643" s="2" t="s">
        <v>572</v>
      </c>
      <c r="E643" s="2"/>
    </row>
    <row r="644">
      <c r="C644" s="2" t="s">
        <v>572</v>
      </c>
      <c r="D644" s="2" t="s">
        <v>572</v>
      </c>
      <c r="E644" s="2"/>
    </row>
    <row r="645">
      <c r="C645" s="2" t="s">
        <v>572</v>
      </c>
      <c r="D645" s="2" t="s">
        <v>572</v>
      </c>
      <c r="E645" s="2"/>
    </row>
    <row r="646">
      <c r="C646" s="2" t="s">
        <v>572</v>
      </c>
      <c r="D646" s="2" t="s">
        <v>572</v>
      </c>
      <c r="E646" s="2"/>
    </row>
    <row r="647">
      <c r="C647" s="2" t="s">
        <v>572</v>
      </c>
      <c r="D647" s="2" t="s">
        <v>572</v>
      </c>
      <c r="E647" s="2"/>
    </row>
    <row r="648">
      <c r="C648" s="2" t="s">
        <v>572</v>
      </c>
      <c r="D648" s="2" t="s">
        <v>572</v>
      </c>
      <c r="E648" s="2"/>
    </row>
    <row r="649">
      <c r="C649" s="2" t="s">
        <v>572</v>
      </c>
      <c r="D649" s="2" t="s">
        <v>572</v>
      </c>
      <c r="E649" s="2"/>
    </row>
    <row r="650">
      <c r="C650" s="2" t="s">
        <v>572</v>
      </c>
      <c r="D650" s="2" t="s">
        <v>572</v>
      </c>
      <c r="E650" s="2"/>
    </row>
    <row r="651">
      <c r="C651" s="2" t="s">
        <v>572</v>
      </c>
      <c r="D651" s="2" t="s">
        <v>572</v>
      </c>
      <c r="E651" s="2"/>
    </row>
    <row r="652">
      <c r="C652" s="2" t="s">
        <v>572</v>
      </c>
      <c r="D652" s="2" t="s">
        <v>572</v>
      </c>
      <c r="E652" s="2"/>
    </row>
    <row r="653">
      <c r="C653" s="2" t="s">
        <v>572</v>
      </c>
      <c r="D653" s="2" t="s">
        <v>572</v>
      </c>
      <c r="E653" s="2"/>
    </row>
    <row r="654">
      <c r="C654" s="2" t="s">
        <v>572</v>
      </c>
      <c r="D654" s="2" t="s">
        <v>572</v>
      </c>
      <c r="E654" s="2"/>
    </row>
    <row r="655">
      <c r="C655" s="2" t="s">
        <v>572</v>
      </c>
      <c r="D655" s="2" t="s">
        <v>572</v>
      </c>
      <c r="E655" s="2"/>
    </row>
    <row r="656">
      <c r="C656" s="2" t="s">
        <v>572</v>
      </c>
      <c r="D656" s="2" t="s">
        <v>572</v>
      </c>
      <c r="E656" s="2"/>
    </row>
    <row r="657">
      <c r="C657" s="2" t="s">
        <v>572</v>
      </c>
      <c r="D657" s="2" t="s">
        <v>572</v>
      </c>
      <c r="E657" s="2"/>
    </row>
    <row r="658">
      <c r="C658" s="2" t="s">
        <v>572</v>
      </c>
      <c r="D658" s="2" t="s">
        <v>572</v>
      </c>
      <c r="E658" s="2"/>
    </row>
    <row r="659">
      <c r="C659" s="2" t="s">
        <v>572</v>
      </c>
      <c r="D659" s="2" t="s">
        <v>572</v>
      </c>
      <c r="E659" s="2"/>
    </row>
    <row r="660">
      <c r="C660" s="2" t="s">
        <v>572</v>
      </c>
      <c r="D660" s="2" t="s">
        <v>572</v>
      </c>
      <c r="E660" s="2"/>
    </row>
    <row r="661">
      <c r="C661" s="2" t="s">
        <v>572</v>
      </c>
      <c r="D661" s="2" t="s">
        <v>572</v>
      </c>
      <c r="E661" s="2"/>
    </row>
    <row r="662">
      <c r="C662" s="2" t="s">
        <v>572</v>
      </c>
      <c r="D662" s="2" t="s">
        <v>572</v>
      </c>
      <c r="E662" s="2"/>
    </row>
    <row r="663">
      <c r="C663" s="2" t="s">
        <v>572</v>
      </c>
      <c r="D663" s="2" t="s">
        <v>572</v>
      </c>
      <c r="E663" s="2"/>
    </row>
    <row r="664">
      <c r="C664" s="2" t="s">
        <v>572</v>
      </c>
      <c r="D664" s="2" t="s">
        <v>572</v>
      </c>
      <c r="E664" s="2"/>
    </row>
    <row r="665">
      <c r="C665" s="2" t="s">
        <v>572</v>
      </c>
      <c r="D665" s="2" t="s">
        <v>572</v>
      </c>
      <c r="E665" s="2"/>
    </row>
    <row r="666">
      <c r="C666" s="2" t="s">
        <v>572</v>
      </c>
      <c r="D666" s="2" t="s">
        <v>572</v>
      </c>
      <c r="E666" s="2"/>
    </row>
    <row r="667">
      <c r="C667" s="2" t="s">
        <v>572</v>
      </c>
      <c r="D667" s="2" t="s">
        <v>572</v>
      </c>
      <c r="E667" s="2"/>
    </row>
    <row r="668">
      <c r="C668" s="2" t="s">
        <v>572</v>
      </c>
      <c r="D668" s="2" t="s">
        <v>572</v>
      </c>
      <c r="E668" s="2"/>
    </row>
    <row r="669">
      <c r="C669" s="2" t="s">
        <v>572</v>
      </c>
      <c r="D669" s="2" t="s">
        <v>572</v>
      </c>
      <c r="E669" s="2"/>
    </row>
    <row r="670">
      <c r="C670" s="2" t="s">
        <v>572</v>
      </c>
      <c r="D670" s="2" t="s">
        <v>572</v>
      </c>
      <c r="E670" s="2"/>
    </row>
    <row r="671">
      <c r="C671" s="2" t="s">
        <v>572</v>
      </c>
      <c r="D671" s="2" t="s">
        <v>572</v>
      </c>
      <c r="E671" s="2"/>
    </row>
    <row r="672">
      <c r="C672" s="2" t="s">
        <v>572</v>
      </c>
      <c r="D672" s="2" t="s">
        <v>572</v>
      </c>
      <c r="E672" s="2"/>
    </row>
    <row r="673">
      <c r="C673" s="2" t="s">
        <v>572</v>
      </c>
      <c r="D673" s="2" t="s">
        <v>572</v>
      </c>
      <c r="E673" s="2"/>
    </row>
    <row r="674">
      <c r="C674" s="2" t="s">
        <v>572</v>
      </c>
      <c r="D674" s="2" t="s">
        <v>572</v>
      </c>
      <c r="E674" s="2"/>
    </row>
    <row r="675">
      <c r="C675" s="2" t="s">
        <v>572</v>
      </c>
      <c r="D675" s="2" t="s">
        <v>572</v>
      </c>
      <c r="E675" s="2"/>
    </row>
    <row r="676">
      <c r="C676" s="2" t="s">
        <v>572</v>
      </c>
      <c r="D676" s="2" t="s">
        <v>572</v>
      </c>
      <c r="E676" s="2"/>
    </row>
    <row r="677">
      <c r="C677" s="2" t="s">
        <v>572</v>
      </c>
      <c r="D677" s="2" t="s">
        <v>572</v>
      </c>
      <c r="E677" s="2"/>
    </row>
    <row r="678">
      <c r="C678" s="2" t="s">
        <v>572</v>
      </c>
      <c r="D678" s="2" t="s">
        <v>572</v>
      </c>
      <c r="E678" s="2"/>
    </row>
    <row r="679">
      <c r="C679" s="2" t="s">
        <v>572</v>
      </c>
      <c r="D679" s="2" t="s">
        <v>572</v>
      </c>
      <c r="E679" s="2"/>
    </row>
    <row r="680">
      <c r="C680" s="2" t="s">
        <v>572</v>
      </c>
      <c r="D680" s="2" t="s">
        <v>572</v>
      </c>
      <c r="E680" s="2"/>
    </row>
    <row r="681">
      <c r="C681" s="2" t="s">
        <v>572</v>
      </c>
      <c r="D681" s="2" t="s">
        <v>572</v>
      </c>
      <c r="E681" s="2"/>
    </row>
    <row r="682">
      <c r="C682" s="2" t="s">
        <v>572</v>
      </c>
      <c r="D682" s="2" t="s">
        <v>572</v>
      </c>
      <c r="E682" s="2"/>
    </row>
    <row r="683">
      <c r="C683" s="2" t="s">
        <v>572</v>
      </c>
      <c r="D683" s="2" t="s">
        <v>572</v>
      </c>
      <c r="E683" s="2"/>
    </row>
    <row r="684">
      <c r="C684" s="2" t="s">
        <v>572</v>
      </c>
      <c r="D684" s="2" t="s">
        <v>572</v>
      </c>
      <c r="E684" s="2"/>
    </row>
    <row r="685">
      <c r="C685" s="2" t="s">
        <v>572</v>
      </c>
      <c r="D685" s="2" t="s">
        <v>572</v>
      </c>
      <c r="E685" s="2"/>
    </row>
    <row r="686">
      <c r="C686" s="2" t="s">
        <v>572</v>
      </c>
      <c r="D686" s="2" t="s">
        <v>572</v>
      </c>
      <c r="E686" s="2"/>
    </row>
    <row r="687">
      <c r="C687" s="2" t="s">
        <v>572</v>
      </c>
      <c r="D687" s="2" t="s">
        <v>572</v>
      </c>
      <c r="E687" s="2"/>
    </row>
    <row r="688">
      <c r="C688" s="2" t="s">
        <v>572</v>
      </c>
      <c r="D688" s="2" t="s">
        <v>572</v>
      </c>
      <c r="E688" s="2"/>
    </row>
    <row r="689">
      <c r="C689" s="2" t="s">
        <v>572</v>
      </c>
      <c r="D689" s="2" t="s">
        <v>572</v>
      </c>
      <c r="E689" s="2"/>
    </row>
    <row r="690">
      <c r="C690" s="2" t="s">
        <v>572</v>
      </c>
      <c r="D690" s="2" t="s">
        <v>572</v>
      </c>
      <c r="E690" s="2"/>
    </row>
    <row r="691">
      <c r="C691" s="2" t="s">
        <v>572</v>
      </c>
      <c r="D691" s="2" t="s">
        <v>572</v>
      </c>
      <c r="E691" s="2"/>
    </row>
    <row r="692">
      <c r="C692" s="2" t="s">
        <v>572</v>
      </c>
      <c r="D692" s="2" t="s">
        <v>572</v>
      </c>
      <c r="E692" s="2"/>
    </row>
    <row r="693">
      <c r="C693" s="2" t="s">
        <v>572</v>
      </c>
      <c r="D693" s="2" t="s">
        <v>572</v>
      </c>
      <c r="E693" s="2"/>
    </row>
    <row r="694">
      <c r="C694" s="2" t="s">
        <v>572</v>
      </c>
      <c r="D694" s="2" t="s">
        <v>572</v>
      </c>
      <c r="E694" s="2"/>
    </row>
    <row r="695">
      <c r="C695" s="2" t="s">
        <v>572</v>
      </c>
      <c r="D695" s="2" t="s">
        <v>572</v>
      </c>
      <c r="E695" s="2"/>
    </row>
    <row r="696">
      <c r="C696" s="2" t="s">
        <v>572</v>
      </c>
      <c r="D696" s="2" t="s">
        <v>572</v>
      </c>
      <c r="E696" s="2"/>
    </row>
    <row r="697">
      <c r="C697" s="2" t="s">
        <v>572</v>
      </c>
      <c r="D697" s="2" t="s">
        <v>572</v>
      </c>
      <c r="E697" s="2"/>
    </row>
    <row r="698">
      <c r="C698" s="2" t="s">
        <v>572</v>
      </c>
      <c r="D698" s="2" t="s">
        <v>572</v>
      </c>
      <c r="E698" s="2"/>
    </row>
    <row r="699">
      <c r="C699" s="2" t="s">
        <v>572</v>
      </c>
      <c r="D699" s="2" t="s">
        <v>572</v>
      </c>
      <c r="E699" s="2"/>
    </row>
    <row r="700">
      <c r="C700" s="2" t="s">
        <v>572</v>
      </c>
      <c r="D700" s="2" t="s">
        <v>572</v>
      </c>
      <c r="E700" s="2"/>
    </row>
    <row r="701">
      <c r="C701" s="2" t="s">
        <v>572</v>
      </c>
      <c r="D701" s="2" t="s">
        <v>572</v>
      </c>
      <c r="E701" s="2"/>
    </row>
    <row r="702">
      <c r="C702" s="2" t="s">
        <v>572</v>
      </c>
      <c r="D702" s="2" t="s">
        <v>572</v>
      </c>
      <c r="E702" s="2"/>
    </row>
    <row r="703">
      <c r="C703" s="2" t="s">
        <v>572</v>
      </c>
      <c r="D703" s="2" t="s">
        <v>572</v>
      </c>
      <c r="E703" s="2"/>
    </row>
    <row r="704">
      <c r="C704" s="2" t="s">
        <v>572</v>
      </c>
      <c r="D704" s="2" t="s">
        <v>572</v>
      </c>
      <c r="E704" s="2"/>
    </row>
    <row r="705">
      <c r="C705" s="2" t="s">
        <v>572</v>
      </c>
      <c r="D705" s="2" t="s">
        <v>572</v>
      </c>
      <c r="E705" s="2"/>
    </row>
    <row r="706">
      <c r="C706" s="2" t="s">
        <v>572</v>
      </c>
      <c r="D706" s="2" t="s">
        <v>572</v>
      </c>
      <c r="E706" s="2"/>
    </row>
    <row r="707">
      <c r="C707" s="2" t="s">
        <v>572</v>
      </c>
      <c r="D707" s="2" t="s">
        <v>572</v>
      </c>
      <c r="E707" s="2"/>
    </row>
    <row r="708">
      <c r="C708" s="2" t="s">
        <v>572</v>
      </c>
      <c r="D708" s="2" t="s">
        <v>572</v>
      </c>
      <c r="E708" s="2"/>
    </row>
    <row r="709">
      <c r="C709" s="2" t="s">
        <v>572</v>
      </c>
      <c r="D709" s="2" t="s">
        <v>572</v>
      </c>
      <c r="E709" s="2"/>
    </row>
    <row r="710">
      <c r="C710" s="2" t="s">
        <v>572</v>
      </c>
      <c r="D710" s="2" t="s">
        <v>572</v>
      </c>
      <c r="E710" s="2"/>
    </row>
    <row r="711">
      <c r="C711" s="2" t="s">
        <v>572</v>
      </c>
      <c r="D711" s="2" t="s">
        <v>572</v>
      </c>
      <c r="E711" s="2"/>
    </row>
    <row r="712">
      <c r="C712" s="2" t="s">
        <v>572</v>
      </c>
      <c r="D712" s="2" t="s">
        <v>572</v>
      </c>
      <c r="E712" s="2"/>
    </row>
    <row r="713">
      <c r="C713" s="2" t="s">
        <v>572</v>
      </c>
      <c r="D713" s="2" t="s">
        <v>572</v>
      </c>
      <c r="E713" s="2"/>
    </row>
    <row r="714">
      <c r="C714" s="2" t="s">
        <v>572</v>
      </c>
      <c r="D714" s="2" t="s">
        <v>572</v>
      </c>
      <c r="E714" s="2"/>
    </row>
    <row r="715">
      <c r="C715" s="2" t="s">
        <v>572</v>
      </c>
      <c r="D715" s="2" t="s">
        <v>572</v>
      </c>
      <c r="E715" s="2"/>
    </row>
    <row r="716">
      <c r="C716" s="2" t="s">
        <v>572</v>
      </c>
      <c r="D716" s="2" t="s">
        <v>572</v>
      </c>
      <c r="E716" s="2"/>
    </row>
    <row r="717">
      <c r="C717" s="2" t="s">
        <v>572</v>
      </c>
      <c r="D717" s="2" t="s">
        <v>572</v>
      </c>
      <c r="E717" s="2"/>
    </row>
    <row r="718">
      <c r="C718" s="2" t="s">
        <v>572</v>
      </c>
      <c r="D718" s="2" t="s">
        <v>572</v>
      </c>
      <c r="E718" s="2"/>
    </row>
    <row r="719">
      <c r="C719" s="2" t="s">
        <v>572</v>
      </c>
      <c r="D719" s="2" t="s">
        <v>572</v>
      </c>
      <c r="E719" s="2"/>
    </row>
    <row r="720">
      <c r="C720" s="2" t="s">
        <v>572</v>
      </c>
      <c r="D720" s="2" t="s">
        <v>572</v>
      </c>
      <c r="E720" s="2"/>
    </row>
    <row r="721">
      <c r="C721" s="2" t="s">
        <v>572</v>
      </c>
      <c r="D721" s="2" t="s">
        <v>572</v>
      </c>
      <c r="E721" s="2"/>
    </row>
    <row r="722">
      <c r="C722" s="2" t="s">
        <v>572</v>
      </c>
      <c r="D722" s="2" t="s">
        <v>572</v>
      </c>
      <c r="E722" s="2"/>
    </row>
    <row r="723">
      <c r="C723" s="2" t="s">
        <v>572</v>
      </c>
      <c r="D723" s="2" t="s">
        <v>572</v>
      </c>
      <c r="E723" s="2"/>
    </row>
    <row r="724">
      <c r="C724" s="2" t="s">
        <v>572</v>
      </c>
      <c r="D724" s="2" t="s">
        <v>572</v>
      </c>
      <c r="E724" s="2"/>
    </row>
    <row r="725">
      <c r="C725" s="2" t="s">
        <v>572</v>
      </c>
      <c r="D725" s="2" t="s">
        <v>572</v>
      </c>
      <c r="E725" s="2"/>
    </row>
    <row r="726">
      <c r="C726" s="2" t="s">
        <v>572</v>
      </c>
      <c r="D726" s="2" t="s">
        <v>572</v>
      </c>
      <c r="E726" s="2"/>
    </row>
    <row r="727">
      <c r="C727" s="2" t="s">
        <v>572</v>
      </c>
      <c r="D727" s="2" t="s">
        <v>572</v>
      </c>
      <c r="E727" s="2"/>
    </row>
    <row r="728">
      <c r="C728" s="2" t="s">
        <v>572</v>
      </c>
      <c r="D728" s="2" t="s">
        <v>572</v>
      </c>
      <c r="E728" s="2"/>
    </row>
    <row r="729">
      <c r="C729" s="2" t="s">
        <v>572</v>
      </c>
      <c r="D729" s="2" t="s">
        <v>572</v>
      </c>
      <c r="E729" s="2"/>
    </row>
    <row r="730">
      <c r="C730" s="2" t="s">
        <v>572</v>
      </c>
      <c r="D730" s="2" t="s">
        <v>572</v>
      </c>
      <c r="E730" s="2"/>
    </row>
    <row r="731">
      <c r="C731" s="2" t="s">
        <v>572</v>
      </c>
      <c r="D731" s="2" t="s">
        <v>572</v>
      </c>
      <c r="E731" s="2"/>
    </row>
    <row r="732">
      <c r="C732" s="2" t="s">
        <v>572</v>
      </c>
      <c r="D732" s="2" t="s">
        <v>572</v>
      </c>
      <c r="E732" s="2"/>
    </row>
    <row r="733">
      <c r="C733" s="2" t="s">
        <v>572</v>
      </c>
      <c r="D733" s="2" t="s">
        <v>572</v>
      </c>
      <c r="E733" s="2"/>
    </row>
    <row r="734">
      <c r="C734" s="2" t="s">
        <v>572</v>
      </c>
      <c r="D734" s="2" t="s">
        <v>572</v>
      </c>
      <c r="E734" s="2"/>
    </row>
    <row r="735">
      <c r="C735" s="2" t="s">
        <v>572</v>
      </c>
      <c r="D735" s="2" t="s">
        <v>572</v>
      </c>
      <c r="E735" s="2"/>
    </row>
    <row r="736">
      <c r="C736" s="2" t="s">
        <v>572</v>
      </c>
      <c r="D736" s="2" t="s">
        <v>572</v>
      </c>
      <c r="E736" s="2"/>
    </row>
    <row r="737">
      <c r="C737" s="2" t="s">
        <v>572</v>
      </c>
      <c r="D737" s="2" t="s">
        <v>572</v>
      </c>
      <c r="E737" s="2"/>
    </row>
    <row r="738">
      <c r="C738" s="2" t="s">
        <v>572</v>
      </c>
      <c r="D738" s="2" t="s">
        <v>572</v>
      </c>
      <c r="E738" s="2"/>
    </row>
    <row r="739">
      <c r="C739" s="2" t="s">
        <v>572</v>
      </c>
      <c r="D739" s="2" t="s">
        <v>572</v>
      </c>
      <c r="E739" s="2"/>
    </row>
    <row r="740">
      <c r="C740" s="2" t="s">
        <v>572</v>
      </c>
      <c r="D740" s="2" t="s">
        <v>572</v>
      </c>
      <c r="E740" s="2"/>
    </row>
    <row r="741">
      <c r="C741" s="2" t="s">
        <v>572</v>
      </c>
      <c r="D741" s="2" t="s">
        <v>572</v>
      </c>
      <c r="E741" s="2"/>
    </row>
    <row r="742">
      <c r="C742" s="2" t="s">
        <v>572</v>
      </c>
      <c r="D742" s="2" t="s">
        <v>572</v>
      </c>
      <c r="E742" s="2"/>
    </row>
    <row r="743">
      <c r="C743" s="2" t="s">
        <v>572</v>
      </c>
      <c r="D743" s="2" t="s">
        <v>572</v>
      </c>
      <c r="E743" s="2"/>
    </row>
    <row r="744">
      <c r="C744" s="2" t="s">
        <v>572</v>
      </c>
      <c r="D744" s="2" t="s">
        <v>572</v>
      </c>
      <c r="E744" s="2"/>
    </row>
    <row r="745">
      <c r="C745" s="2" t="s">
        <v>572</v>
      </c>
      <c r="D745" s="2" t="s">
        <v>572</v>
      </c>
      <c r="E745" s="2"/>
    </row>
    <row r="746">
      <c r="C746" s="2" t="s">
        <v>572</v>
      </c>
      <c r="D746" s="2" t="s">
        <v>572</v>
      </c>
      <c r="E746" s="2"/>
    </row>
    <row r="747">
      <c r="C747" s="2" t="s">
        <v>572</v>
      </c>
      <c r="D747" s="2" t="s">
        <v>572</v>
      </c>
      <c r="E747" s="2"/>
    </row>
    <row r="748">
      <c r="C748" s="2" t="s">
        <v>572</v>
      </c>
      <c r="D748" s="2" t="s">
        <v>572</v>
      </c>
      <c r="E748" s="2"/>
    </row>
    <row r="749">
      <c r="C749" s="2" t="s">
        <v>572</v>
      </c>
      <c r="D749" s="2" t="s">
        <v>572</v>
      </c>
      <c r="E749" s="2"/>
    </row>
    <row r="750">
      <c r="C750" s="2" t="s">
        <v>572</v>
      </c>
      <c r="D750" s="2" t="s">
        <v>572</v>
      </c>
      <c r="E750" s="2"/>
    </row>
    <row r="751">
      <c r="C751" s="2" t="s">
        <v>572</v>
      </c>
      <c r="D751" s="2" t="s">
        <v>572</v>
      </c>
      <c r="E751" s="2"/>
    </row>
    <row r="752">
      <c r="C752" s="2" t="s">
        <v>572</v>
      </c>
      <c r="D752" s="2" t="s">
        <v>572</v>
      </c>
      <c r="E752" s="2"/>
    </row>
    <row r="753">
      <c r="C753" s="2" t="s">
        <v>572</v>
      </c>
      <c r="D753" s="2" t="s">
        <v>572</v>
      </c>
      <c r="E753" s="2"/>
    </row>
    <row r="754">
      <c r="C754" s="2" t="s">
        <v>572</v>
      </c>
      <c r="D754" s="2" t="s">
        <v>572</v>
      </c>
      <c r="E754" s="2"/>
    </row>
    <row r="755">
      <c r="C755" s="2" t="s">
        <v>572</v>
      </c>
      <c r="D755" s="2" t="s">
        <v>572</v>
      </c>
      <c r="E755" s="2"/>
    </row>
    <row r="756">
      <c r="C756" s="2" t="s">
        <v>572</v>
      </c>
      <c r="D756" s="2" t="s">
        <v>572</v>
      </c>
      <c r="E756" s="2"/>
    </row>
    <row r="757">
      <c r="C757" s="2" t="s">
        <v>572</v>
      </c>
      <c r="D757" s="2" t="s">
        <v>572</v>
      </c>
      <c r="E757" s="2"/>
    </row>
    <row r="758">
      <c r="C758" s="2" t="s">
        <v>572</v>
      </c>
      <c r="D758" s="2" t="s">
        <v>572</v>
      </c>
      <c r="E758" s="2"/>
    </row>
    <row r="759">
      <c r="C759" s="2" t="s">
        <v>572</v>
      </c>
      <c r="D759" s="2" t="s">
        <v>572</v>
      </c>
      <c r="E759" s="2"/>
    </row>
    <row r="760">
      <c r="C760" s="2" t="s">
        <v>572</v>
      </c>
      <c r="D760" s="2" t="s">
        <v>572</v>
      </c>
      <c r="E760" s="2"/>
    </row>
    <row r="761">
      <c r="C761" s="2" t="s">
        <v>572</v>
      </c>
      <c r="D761" s="2" t="s">
        <v>572</v>
      </c>
      <c r="E761" s="2"/>
    </row>
    <row r="762">
      <c r="C762" s="2" t="s">
        <v>572</v>
      </c>
      <c r="D762" s="2" t="s">
        <v>572</v>
      </c>
      <c r="E762" s="2"/>
    </row>
    <row r="763">
      <c r="C763" s="2" t="s">
        <v>572</v>
      </c>
      <c r="D763" s="2" t="s">
        <v>572</v>
      </c>
      <c r="E763" s="2"/>
    </row>
    <row r="764">
      <c r="C764" s="2" t="s">
        <v>572</v>
      </c>
      <c r="D764" s="2" t="s">
        <v>572</v>
      </c>
      <c r="E764" s="2"/>
    </row>
    <row r="765">
      <c r="C765" s="2" t="s">
        <v>572</v>
      </c>
      <c r="D765" s="2" t="s">
        <v>572</v>
      </c>
      <c r="E765" s="2"/>
    </row>
    <row r="766">
      <c r="C766" s="2" t="s">
        <v>572</v>
      </c>
      <c r="D766" s="2" t="s">
        <v>572</v>
      </c>
      <c r="E766" s="2"/>
    </row>
    <row r="767">
      <c r="C767" s="2" t="s">
        <v>572</v>
      </c>
      <c r="D767" s="2" t="s">
        <v>572</v>
      </c>
      <c r="E767" s="2"/>
    </row>
    <row r="768">
      <c r="C768" s="2" t="s">
        <v>572</v>
      </c>
      <c r="D768" s="2" t="s">
        <v>572</v>
      </c>
      <c r="E768" s="2"/>
    </row>
    <row r="769">
      <c r="C769" s="2" t="s">
        <v>572</v>
      </c>
      <c r="D769" s="2" t="s">
        <v>572</v>
      </c>
      <c r="E769" s="2"/>
    </row>
    <row r="770">
      <c r="C770" s="2" t="s">
        <v>572</v>
      </c>
      <c r="D770" s="2" t="s">
        <v>572</v>
      </c>
      <c r="E770" s="2"/>
    </row>
    <row r="771">
      <c r="C771" s="2" t="s">
        <v>572</v>
      </c>
      <c r="D771" s="2" t="s">
        <v>572</v>
      </c>
      <c r="E771" s="2"/>
    </row>
    <row r="772">
      <c r="C772" s="2" t="s">
        <v>572</v>
      </c>
      <c r="D772" s="2" t="s">
        <v>572</v>
      </c>
      <c r="E772" s="2"/>
    </row>
    <row r="773">
      <c r="C773" s="2" t="s">
        <v>572</v>
      </c>
      <c r="D773" s="2" t="s">
        <v>572</v>
      </c>
      <c r="E773" s="2"/>
    </row>
    <row r="774">
      <c r="C774" s="2" t="s">
        <v>572</v>
      </c>
      <c r="D774" s="2" t="s">
        <v>572</v>
      </c>
      <c r="E774" s="2"/>
    </row>
    <row r="775">
      <c r="C775" s="2" t="s">
        <v>572</v>
      </c>
      <c r="D775" s="2" t="s">
        <v>572</v>
      </c>
      <c r="E775" s="2"/>
    </row>
    <row r="776">
      <c r="C776" s="2" t="s">
        <v>572</v>
      </c>
      <c r="D776" s="2" t="s">
        <v>572</v>
      </c>
      <c r="E776" s="2"/>
    </row>
    <row r="777">
      <c r="C777" s="2" t="s">
        <v>572</v>
      </c>
      <c r="D777" s="2" t="s">
        <v>572</v>
      </c>
      <c r="E777" s="2"/>
    </row>
    <row r="778">
      <c r="C778" s="2" t="s">
        <v>572</v>
      </c>
      <c r="D778" s="2" t="s">
        <v>572</v>
      </c>
      <c r="E778" s="2"/>
    </row>
    <row r="779">
      <c r="C779" s="2" t="s">
        <v>572</v>
      </c>
      <c r="D779" s="2" t="s">
        <v>572</v>
      </c>
      <c r="E779" s="2"/>
    </row>
    <row r="780">
      <c r="C780" s="2" t="s">
        <v>572</v>
      </c>
      <c r="D780" s="2" t="s">
        <v>572</v>
      </c>
      <c r="E780" s="2"/>
    </row>
    <row r="781">
      <c r="C781" s="2" t="s">
        <v>572</v>
      </c>
      <c r="D781" s="2" t="s">
        <v>572</v>
      </c>
      <c r="E781" s="2"/>
    </row>
    <row r="782">
      <c r="C782" s="2" t="s">
        <v>572</v>
      </c>
      <c r="D782" s="2" t="s">
        <v>572</v>
      </c>
      <c r="E782" s="2"/>
    </row>
    <row r="783">
      <c r="C783" s="2" t="s">
        <v>572</v>
      </c>
      <c r="D783" s="2" t="s">
        <v>572</v>
      </c>
      <c r="E783" s="2"/>
    </row>
    <row r="784">
      <c r="C784" s="2" t="s">
        <v>572</v>
      </c>
      <c r="D784" s="2" t="s">
        <v>572</v>
      </c>
      <c r="E784" s="2"/>
    </row>
    <row r="785">
      <c r="C785" s="2" t="s">
        <v>572</v>
      </c>
      <c r="D785" s="2" t="s">
        <v>572</v>
      </c>
      <c r="E785" s="2"/>
    </row>
    <row r="786">
      <c r="C786" s="2" t="s">
        <v>572</v>
      </c>
      <c r="D786" s="2" t="s">
        <v>572</v>
      </c>
      <c r="E786" s="2"/>
    </row>
    <row r="787">
      <c r="C787" s="2" t="s">
        <v>572</v>
      </c>
      <c r="D787" s="2" t="s">
        <v>572</v>
      </c>
      <c r="E787" s="2"/>
    </row>
    <row r="788">
      <c r="C788" s="2" t="s">
        <v>572</v>
      </c>
      <c r="D788" s="2" t="s">
        <v>572</v>
      </c>
      <c r="E788" s="2"/>
    </row>
    <row r="789">
      <c r="C789" s="2" t="s">
        <v>572</v>
      </c>
      <c r="D789" s="2" t="s">
        <v>572</v>
      </c>
      <c r="E789" s="2"/>
    </row>
    <row r="790">
      <c r="C790" s="2" t="s">
        <v>572</v>
      </c>
      <c r="D790" s="2" t="s">
        <v>572</v>
      </c>
      <c r="E790" s="2"/>
    </row>
    <row r="791">
      <c r="C791" s="2" t="s">
        <v>572</v>
      </c>
      <c r="D791" s="2" t="s">
        <v>572</v>
      </c>
      <c r="E791" s="2"/>
    </row>
    <row r="792">
      <c r="C792" s="2" t="s">
        <v>572</v>
      </c>
      <c r="D792" s="2" t="s">
        <v>572</v>
      </c>
      <c r="E792" s="2"/>
    </row>
    <row r="793">
      <c r="C793" s="2" t="s">
        <v>572</v>
      </c>
      <c r="D793" s="2" t="s">
        <v>572</v>
      </c>
      <c r="E793" s="2"/>
    </row>
    <row r="794">
      <c r="C794" s="2" t="s">
        <v>572</v>
      </c>
      <c r="D794" s="2" t="s">
        <v>572</v>
      </c>
      <c r="E794" s="2"/>
    </row>
    <row r="795">
      <c r="C795" s="2" t="s">
        <v>572</v>
      </c>
      <c r="D795" s="2" t="s">
        <v>572</v>
      </c>
      <c r="E795" s="2"/>
    </row>
    <row r="796">
      <c r="C796" s="2" t="s">
        <v>572</v>
      </c>
      <c r="D796" s="2" t="s">
        <v>572</v>
      </c>
      <c r="E796" s="2"/>
    </row>
    <row r="797">
      <c r="C797" s="2" t="s">
        <v>572</v>
      </c>
      <c r="D797" s="2" t="s">
        <v>572</v>
      </c>
      <c r="E797" s="2"/>
    </row>
    <row r="798">
      <c r="C798" s="2" t="s">
        <v>572</v>
      </c>
      <c r="D798" s="2" t="s">
        <v>572</v>
      </c>
      <c r="E798" s="2"/>
    </row>
    <row r="799">
      <c r="C799" s="2" t="s">
        <v>572</v>
      </c>
      <c r="D799" s="2" t="s">
        <v>572</v>
      </c>
      <c r="E799" s="2"/>
    </row>
    <row r="800">
      <c r="C800" s="2" t="s">
        <v>572</v>
      </c>
      <c r="D800" s="2" t="s">
        <v>572</v>
      </c>
      <c r="E800" s="2"/>
    </row>
    <row r="801">
      <c r="C801" s="2" t="s">
        <v>572</v>
      </c>
      <c r="D801" s="2" t="s">
        <v>572</v>
      </c>
      <c r="E801" s="2"/>
    </row>
    <row r="802">
      <c r="C802" s="2" t="s">
        <v>572</v>
      </c>
      <c r="D802" s="2" t="s">
        <v>572</v>
      </c>
      <c r="E802" s="2"/>
    </row>
    <row r="803">
      <c r="C803" s="2" t="s">
        <v>572</v>
      </c>
      <c r="D803" s="2" t="s">
        <v>572</v>
      </c>
      <c r="E803" s="2"/>
    </row>
    <row r="804">
      <c r="C804" s="2" t="s">
        <v>572</v>
      </c>
      <c r="D804" s="2" t="s">
        <v>572</v>
      </c>
      <c r="E804" s="2"/>
    </row>
    <row r="805">
      <c r="C805" s="2" t="s">
        <v>572</v>
      </c>
      <c r="D805" s="2" t="s">
        <v>572</v>
      </c>
      <c r="E805" s="2"/>
    </row>
    <row r="806">
      <c r="C806" s="2" t="s">
        <v>572</v>
      </c>
      <c r="D806" s="2" t="s">
        <v>572</v>
      </c>
      <c r="E806" s="2"/>
    </row>
    <row r="807">
      <c r="C807" s="2" t="s">
        <v>572</v>
      </c>
      <c r="D807" s="2" t="s">
        <v>572</v>
      </c>
      <c r="E807" s="2"/>
    </row>
    <row r="808">
      <c r="C808" s="2" t="s">
        <v>572</v>
      </c>
      <c r="D808" s="2" t="s">
        <v>572</v>
      </c>
      <c r="E808" s="2"/>
    </row>
    <row r="809">
      <c r="C809" s="2" t="s">
        <v>572</v>
      </c>
      <c r="D809" s="2" t="s">
        <v>572</v>
      </c>
      <c r="E809" s="2"/>
    </row>
    <row r="810">
      <c r="C810" s="2" t="s">
        <v>572</v>
      </c>
      <c r="D810" s="2" t="s">
        <v>572</v>
      </c>
      <c r="E810" s="2"/>
    </row>
    <row r="811">
      <c r="C811" s="2" t="s">
        <v>572</v>
      </c>
      <c r="D811" s="2" t="s">
        <v>572</v>
      </c>
      <c r="E811" s="2"/>
    </row>
    <row r="812">
      <c r="C812" s="2" t="s">
        <v>572</v>
      </c>
      <c r="D812" s="2" t="s">
        <v>572</v>
      </c>
      <c r="E812" s="2"/>
    </row>
    <row r="813">
      <c r="C813" s="2" t="s">
        <v>572</v>
      </c>
      <c r="D813" s="2" t="s">
        <v>572</v>
      </c>
      <c r="E813" s="2"/>
    </row>
    <row r="814">
      <c r="C814" s="2" t="s">
        <v>572</v>
      </c>
      <c r="D814" s="2" t="s">
        <v>572</v>
      </c>
      <c r="E814" s="2"/>
    </row>
    <row r="815">
      <c r="C815" s="2" t="s">
        <v>572</v>
      </c>
      <c r="D815" s="2" t="s">
        <v>572</v>
      </c>
      <c r="E815" s="2"/>
    </row>
    <row r="816">
      <c r="C816" s="2" t="s">
        <v>572</v>
      </c>
      <c r="D816" s="2" t="s">
        <v>572</v>
      </c>
      <c r="E816" s="2"/>
    </row>
    <row r="817">
      <c r="C817" s="2" t="s">
        <v>572</v>
      </c>
      <c r="D817" s="2" t="s">
        <v>572</v>
      </c>
      <c r="E817" s="2"/>
    </row>
    <row r="818">
      <c r="C818" s="2" t="s">
        <v>572</v>
      </c>
      <c r="D818" s="2" t="s">
        <v>572</v>
      </c>
      <c r="E818" s="2"/>
    </row>
    <row r="819">
      <c r="C819" s="2" t="s">
        <v>572</v>
      </c>
      <c r="D819" s="2" t="s">
        <v>572</v>
      </c>
      <c r="E819" s="2"/>
    </row>
    <row r="820">
      <c r="C820" s="2" t="s">
        <v>572</v>
      </c>
      <c r="D820" s="2" t="s">
        <v>572</v>
      </c>
      <c r="E820" s="2"/>
    </row>
    <row r="821">
      <c r="C821" s="2" t="s">
        <v>572</v>
      </c>
      <c r="D821" s="2" t="s">
        <v>572</v>
      </c>
      <c r="E821" s="2"/>
    </row>
    <row r="822">
      <c r="C822" s="2" t="s">
        <v>572</v>
      </c>
      <c r="D822" s="2" t="s">
        <v>572</v>
      </c>
      <c r="E822" s="2"/>
    </row>
    <row r="823">
      <c r="C823" s="2" t="s">
        <v>572</v>
      </c>
      <c r="D823" s="2" t="s">
        <v>572</v>
      </c>
      <c r="E823" s="2"/>
    </row>
    <row r="824">
      <c r="C824" s="2" t="s">
        <v>572</v>
      </c>
      <c r="D824" s="2" t="s">
        <v>572</v>
      </c>
      <c r="E824" s="2"/>
    </row>
    <row r="825">
      <c r="C825" s="2" t="s">
        <v>572</v>
      </c>
      <c r="D825" s="2" t="s">
        <v>572</v>
      </c>
      <c r="E825" s="2"/>
    </row>
    <row r="826">
      <c r="C826" s="2" t="s">
        <v>572</v>
      </c>
      <c r="D826" s="2" t="s">
        <v>572</v>
      </c>
      <c r="E826" s="2"/>
    </row>
    <row r="827">
      <c r="C827" s="2" t="s">
        <v>572</v>
      </c>
      <c r="D827" s="2" t="s">
        <v>572</v>
      </c>
      <c r="E827" s="2"/>
    </row>
    <row r="828">
      <c r="C828" s="2" t="s">
        <v>572</v>
      </c>
      <c r="D828" s="2" t="s">
        <v>572</v>
      </c>
      <c r="E828" s="2"/>
    </row>
    <row r="829">
      <c r="C829" s="2" t="s">
        <v>572</v>
      </c>
      <c r="D829" s="2" t="s">
        <v>572</v>
      </c>
      <c r="E829" s="2"/>
    </row>
    <row r="830">
      <c r="C830" s="2" t="s">
        <v>572</v>
      </c>
      <c r="D830" s="2" t="s">
        <v>572</v>
      </c>
      <c r="E830" s="2"/>
    </row>
    <row r="831">
      <c r="C831" s="2" t="s">
        <v>572</v>
      </c>
      <c r="D831" s="2" t="s">
        <v>572</v>
      </c>
      <c r="E831" s="2"/>
    </row>
    <row r="832">
      <c r="C832" s="2" t="s">
        <v>572</v>
      </c>
      <c r="D832" s="2" t="s">
        <v>572</v>
      </c>
      <c r="E832" s="2"/>
    </row>
    <row r="833">
      <c r="C833" s="2" t="s">
        <v>572</v>
      </c>
      <c r="D833" s="2" t="s">
        <v>572</v>
      </c>
      <c r="E833" s="2"/>
    </row>
    <row r="834">
      <c r="C834" s="2" t="s">
        <v>572</v>
      </c>
      <c r="D834" s="2" t="s">
        <v>572</v>
      </c>
      <c r="E834" s="2"/>
    </row>
    <row r="835">
      <c r="C835" s="2" t="s">
        <v>572</v>
      </c>
      <c r="D835" s="2" t="s">
        <v>572</v>
      </c>
      <c r="E835" s="2"/>
    </row>
    <row r="836">
      <c r="C836" s="2" t="s">
        <v>572</v>
      </c>
      <c r="D836" s="2" t="s">
        <v>572</v>
      </c>
      <c r="E836" s="2"/>
    </row>
    <row r="837">
      <c r="C837" s="2" t="s">
        <v>572</v>
      </c>
      <c r="D837" s="2" t="s">
        <v>572</v>
      </c>
      <c r="E837" s="2"/>
    </row>
    <row r="838">
      <c r="C838" s="2" t="s">
        <v>572</v>
      </c>
      <c r="D838" s="2" t="s">
        <v>572</v>
      </c>
      <c r="E838" s="2"/>
    </row>
    <row r="839">
      <c r="C839" s="2" t="s">
        <v>572</v>
      </c>
      <c r="D839" s="2" t="s">
        <v>572</v>
      </c>
      <c r="E839" s="2"/>
    </row>
    <row r="840">
      <c r="C840" s="2" t="s">
        <v>572</v>
      </c>
      <c r="D840" s="2" t="s">
        <v>572</v>
      </c>
      <c r="E840" s="2"/>
    </row>
    <row r="841">
      <c r="C841" s="2" t="s">
        <v>572</v>
      </c>
      <c r="D841" s="2" t="s">
        <v>572</v>
      </c>
      <c r="E841" s="2"/>
    </row>
    <row r="842">
      <c r="C842" s="2" t="s">
        <v>572</v>
      </c>
      <c r="D842" s="2" t="s">
        <v>572</v>
      </c>
      <c r="E842" s="2"/>
    </row>
    <row r="843">
      <c r="C843" s="2" t="s">
        <v>572</v>
      </c>
      <c r="D843" s="2" t="s">
        <v>572</v>
      </c>
      <c r="E843" s="2"/>
    </row>
    <row r="844">
      <c r="C844" s="2" t="s">
        <v>572</v>
      </c>
      <c r="D844" s="2" t="s">
        <v>572</v>
      </c>
      <c r="E844" s="2"/>
    </row>
    <row r="845">
      <c r="C845" s="2" t="s">
        <v>572</v>
      </c>
      <c r="D845" s="2" t="s">
        <v>572</v>
      </c>
      <c r="E845" s="2"/>
    </row>
    <row r="846">
      <c r="C846" s="2" t="s">
        <v>572</v>
      </c>
      <c r="D846" s="2" t="s">
        <v>572</v>
      </c>
      <c r="E846" s="2"/>
    </row>
    <row r="847">
      <c r="C847" s="2" t="s">
        <v>572</v>
      </c>
      <c r="D847" s="2" t="s">
        <v>572</v>
      </c>
      <c r="E847" s="2"/>
    </row>
    <row r="848">
      <c r="C848" s="2" t="s">
        <v>572</v>
      </c>
      <c r="D848" s="2" t="s">
        <v>572</v>
      </c>
      <c r="E848" s="2"/>
    </row>
    <row r="849">
      <c r="C849" s="2" t="s">
        <v>572</v>
      </c>
      <c r="D849" s="2" t="s">
        <v>572</v>
      </c>
      <c r="E849" s="2"/>
    </row>
    <row r="850">
      <c r="C850" s="2" t="s">
        <v>572</v>
      </c>
      <c r="D850" s="2" t="s">
        <v>572</v>
      </c>
      <c r="E850" s="2"/>
    </row>
    <row r="851">
      <c r="C851" s="2" t="s">
        <v>572</v>
      </c>
      <c r="D851" s="2" t="s">
        <v>572</v>
      </c>
      <c r="E851" s="2"/>
    </row>
    <row r="852">
      <c r="C852" s="2" t="s">
        <v>572</v>
      </c>
      <c r="D852" s="2" t="s">
        <v>572</v>
      </c>
      <c r="E852" s="2"/>
    </row>
    <row r="853">
      <c r="C853" s="2" t="s">
        <v>572</v>
      </c>
      <c r="D853" s="2" t="s">
        <v>572</v>
      </c>
      <c r="E853" s="2"/>
    </row>
    <row r="854">
      <c r="C854" s="2" t="s">
        <v>572</v>
      </c>
      <c r="D854" s="2" t="s">
        <v>572</v>
      </c>
      <c r="E854" s="2"/>
    </row>
    <row r="855">
      <c r="C855" s="2" t="s">
        <v>572</v>
      </c>
      <c r="D855" s="2" t="s">
        <v>572</v>
      </c>
      <c r="E855" s="2"/>
    </row>
    <row r="856">
      <c r="C856" s="2" t="s">
        <v>572</v>
      </c>
      <c r="D856" s="2" t="s">
        <v>572</v>
      </c>
      <c r="E856" s="2"/>
    </row>
    <row r="857">
      <c r="C857" s="2" t="s">
        <v>572</v>
      </c>
      <c r="D857" s="2" t="s">
        <v>572</v>
      </c>
      <c r="E857" s="2"/>
    </row>
    <row r="858">
      <c r="C858" s="2" t="s">
        <v>572</v>
      </c>
      <c r="D858" s="2" t="s">
        <v>572</v>
      </c>
      <c r="E858" s="2"/>
    </row>
    <row r="859">
      <c r="C859" s="2" t="s">
        <v>572</v>
      </c>
      <c r="D859" s="2" t="s">
        <v>572</v>
      </c>
      <c r="E859" s="2"/>
    </row>
    <row r="860">
      <c r="C860" s="2" t="s">
        <v>572</v>
      </c>
      <c r="D860" s="2" t="s">
        <v>572</v>
      </c>
      <c r="E860" s="2"/>
    </row>
    <row r="861">
      <c r="C861" s="2" t="s">
        <v>572</v>
      </c>
      <c r="D861" s="2" t="s">
        <v>572</v>
      </c>
      <c r="E861" s="2"/>
    </row>
    <row r="862">
      <c r="C862" s="2" t="s">
        <v>572</v>
      </c>
      <c r="D862" s="2" t="s">
        <v>572</v>
      </c>
      <c r="E862" s="2"/>
    </row>
    <row r="863">
      <c r="C863" s="2" t="s">
        <v>572</v>
      </c>
      <c r="D863" s="2" t="s">
        <v>572</v>
      </c>
      <c r="E863" s="2"/>
    </row>
    <row r="864">
      <c r="C864" s="2" t="s">
        <v>572</v>
      </c>
      <c r="D864" s="2" t="s">
        <v>572</v>
      </c>
      <c r="E864" s="2"/>
    </row>
    <row r="865">
      <c r="C865" s="2" t="s">
        <v>572</v>
      </c>
      <c r="D865" s="2" t="s">
        <v>572</v>
      </c>
      <c r="E865" s="2"/>
    </row>
    <row r="866">
      <c r="C866" s="2" t="s">
        <v>572</v>
      </c>
      <c r="D866" s="2" t="s">
        <v>572</v>
      </c>
      <c r="E866" s="2"/>
    </row>
    <row r="867">
      <c r="C867" s="2" t="s">
        <v>572</v>
      </c>
      <c r="D867" s="2" t="s">
        <v>572</v>
      </c>
      <c r="E867" s="2"/>
    </row>
    <row r="868">
      <c r="C868" s="2" t="s">
        <v>572</v>
      </c>
      <c r="D868" s="2" t="s">
        <v>572</v>
      </c>
      <c r="E868" s="2"/>
    </row>
    <row r="869">
      <c r="C869" s="2" t="s">
        <v>572</v>
      </c>
      <c r="D869" s="2" t="s">
        <v>572</v>
      </c>
      <c r="E869" s="2"/>
    </row>
    <row r="870">
      <c r="C870" s="2" t="s">
        <v>572</v>
      </c>
      <c r="D870" s="2" t="s">
        <v>572</v>
      </c>
      <c r="E870" s="2"/>
    </row>
    <row r="871">
      <c r="C871" s="2" t="s">
        <v>572</v>
      </c>
      <c r="D871" s="2" t="s">
        <v>572</v>
      </c>
      <c r="E871" s="2"/>
    </row>
    <row r="872">
      <c r="C872" s="2" t="s">
        <v>572</v>
      </c>
      <c r="D872" s="2" t="s">
        <v>572</v>
      </c>
      <c r="E872" s="2"/>
    </row>
    <row r="873">
      <c r="C873" s="2" t="s">
        <v>572</v>
      </c>
      <c r="D873" s="2" t="s">
        <v>572</v>
      </c>
      <c r="E873" s="2"/>
    </row>
    <row r="874">
      <c r="C874" s="2" t="s">
        <v>572</v>
      </c>
      <c r="D874" s="2" t="s">
        <v>572</v>
      </c>
      <c r="E874" s="2"/>
    </row>
    <row r="875">
      <c r="C875" s="2" t="s">
        <v>572</v>
      </c>
      <c r="D875" s="2" t="s">
        <v>572</v>
      </c>
      <c r="E875" s="2"/>
    </row>
    <row r="876">
      <c r="C876" s="2" t="s">
        <v>572</v>
      </c>
      <c r="D876" s="2" t="s">
        <v>572</v>
      </c>
      <c r="E876" s="2"/>
    </row>
    <row r="877">
      <c r="C877" s="2" t="s">
        <v>572</v>
      </c>
      <c r="D877" s="2" t="s">
        <v>572</v>
      </c>
      <c r="E877" s="2"/>
    </row>
    <row r="878">
      <c r="C878" s="2" t="s">
        <v>572</v>
      </c>
      <c r="D878" s="2" t="s">
        <v>572</v>
      </c>
      <c r="E878" s="2"/>
    </row>
    <row r="879">
      <c r="C879" s="2" t="s">
        <v>572</v>
      </c>
      <c r="D879" s="2" t="s">
        <v>572</v>
      </c>
      <c r="E879" s="2"/>
    </row>
    <row r="880">
      <c r="C880" s="2" t="s">
        <v>572</v>
      </c>
      <c r="D880" s="2" t="s">
        <v>572</v>
      </c>
      <c r="E880" s="2"/>
    </row>
    <row r="881">
      <c r="C881" s="2" t="s">
        <v>572</v>
      </c>
      <c r="D881" s="2" t="s">
        <v>572</v>
      </c>
      <c r="E881" s="2"/>
    </row>
    <row r="882">
      <c r="C882" s="2" t="s">
        <v>572</v>
      </c>
      <c r="D882" s="2" t="s">
        <v>572</v>
      </c>
      <c r="E882" s="2"/>
    </row>
    <row r="883">
      <c r="C883" s="2" t="s">
        <v>572</v>
      </c>
      <c r="D883" s="2" t="s">
        <v>572</v>
      </c>
      <c r="E883" s="2"/>
    </row>
    <row r="884">
      <c r="C884" s="2" t="s">
        <v>572</v>
      </c>
      <c r="D884" s="2" t="s">
        <v>572</v>
      </c>
      <c r="E884" s="2"/>
    </row>
    <row r="885">
      <c r="C885" s="2" t="s">
        <v>572</v>
      </c>
      <c r="D885" s="2" t="s">
        <v>572</v>
      </c>
      <c r="E885" s="2"/>
    </row>
    <row r="886">
      <c r="C886" s="2" t="s">
        <v>572</v>
      </c>
      <c r="D886" s="2" t="s">
        <v>572</v>
      </c>
      <c r="E886" s="2"/>
    </row>
    <row r="887">
      <c r="C887" s="2" t="s">
        <v>572</v>
      </c>
      <c r="D887" s="2" t="s">
        <v>572</v>
      </c>
      <c r="E887" s="2"/>
    </row>
    <row r="888">
      <c r="C888" s="2" t="s">
        <v>572</v>
      </c>
      <c r="D888" s="2" t="s">
        <v>572</v>
      </c>
      <c r="E888" s="2"/>
    </row>
    <row r="889">
      <c r="C889" s="2" t="s">
        <v>572</v>
      </c>
      <c r="D889" s="2" t="s">
        <v>572</v>
      </c>
      <c r="E889" s="2"/>
    </row>
    <row r="890">
      <c r="C890" s="2" t="s">
        <v>572</v>
      </c>
      <c r="D890" s="2" t="s">
        <v>572</v>
      </c>
      <c r="E890" s="2"/>
    </row>
    <row r="891">
      <c r="C891" s="2" t="s">
        <v>572</v>
      </c>
      <c r="D891" s="2" t="s">
        <v>572</v>
      </c>
      <c r="E891" s="2"/>
    </row>
    <row r="892">
      <c r="C892" s="2" t="s">
        <v>572</v>
      </c>
      <c r="D892" s="2" t="s">
        <v>572</v>
      </c>
      <c r="E892" s="2"/>
    </row>
    <row r="893">
      <c r="C893" s="2" t="s">
        <v>572</v>
      </c>
      <c r="D893" s="2" t="s">
        <v>572</v>
      </c>
      <c r="E893" s="2"/>
    </row>
    <row r="894">
      <c r="C894" s="2" t="s">
        <v>572</v>
      </c>
      <c r="D894" s="2" t="s">
        <v>572</v>
      </c>
      <c r="E894" s="2"/>
    </row>
    <row r="895">
      <c r="C895" s="2" t="s">
        <v>572</v>
      </c>
      <c r="D895" s="2" t="s">
        <v>572</v>
      </c>
      <c r="E895" s="2"/>
    </row>
    <row r="896">
      <c r="C896" s="2" t="s">
        <v>572</v>
      </c>
      <c r="D896" s="2" t="s">
        <v>572</v>
      </c>
      <c r="E896" s="2"/>
    </row>
    <row r="897">
      <c r="C897" s="2" t="s">
        <v>572</v>
      </c>
      <c r="D897" s="2" t="s">
        <v>572</v>
      </c>
      <c r="E897" s="2"/>
    </row>
    <row r="898">
      <c r="C898" s="2" t="s">
        <v>572</v>
      </c>
      <c r="D898" s="2" t="s">
        <v>572</v>
      </c>
      <c r="E898" s="2"/>
    </row>
    <row r="899">
      <c r="C899" s="2" t="s">
        <v>572</v>
      </c>
      <c r="D899" s="2" t="s">
        <v>572</v>
      </c>
      <c r="E899" s="2"/>
    </row>
    <row r="900">
      <c r="C900" s="2" t="s">
        <v>572</v>
      </c>
      <c r="D900" s="2" t="s">
        <v>572</v>
      </c>
      <c r="E900" s="2"/>
    </row>
    <row r="901">
      <c r="C901" s="2" t="s">
        <v>572</v>
      </c>
      <c r="D901" s="2" t="s">
        <v>572</v>
      </c>
      <c r="E901" s="2"/>
    </row>
    <row r="902">
      <c r="C902" s="2" t="s">
        <v>572</v>
      </c>
      <c r="D902" s="2" t="s">
        <v>572</v>
      </c>
      <c r="E902" s="2"/>
    </row>
    <row r="903">
      <c r="C903" s="2" t="s">
        <v>572</v>
      </c>
      <c r="D903" s="2" t="s">
        <v>572</v>
      </c>
      <c r="E903" s="2"/>
    </row>
    <row r="904">
      <c r="C904" s="2" t="s">
        <v>572</v>
      </c>
      <c r="D904" s="2" t="s">
        <v>572</v>
      </c>
      <c r="E904" s="2"/>
    </row>
    <row r="905">
      <c r="C905" s="2" t="s">
        <v>572</v>
      </c>
      <c r="D905" s="2" t="s">
        <v>572</v>
      </c>
      <c r="E905" s="2"/>
    </row>
    <row r="906">
      <c r="C906" s="2" t="s">
        <v>572</v>
      </c>
      <c r="D906" s="2" t="s">
        <v>572</v>
      </c>
      <c r="E906" s="2"/>
    </row>
    <row r="907">
      <c r="C907" s="2" t="s">
        <v>572</v>
      </c>
      <c r="D907" s="2" t="s">
        <v>572</v>
      </c>
      <c r="E907" s="2"/>
    </row>
    <row r="908">
      <c r="C908" s="2" t="s">
        <v>572</v>
      </c>
      <c r="D908" s="2" t="s">
        <v>572</v>
      </c>
      <c r="E908" s="2"/>
    </row>
    <row r="909">
      <c r="C909" s="2" t="s">
        <v>572</v>
      </c>
      <c r="D909" s="2" t="s">
        <v>572</v>
      </c>
      <c r="E909" s="2"/>
    </row>
    <row r="910">
      <c r="C910" s="2" t="s">
        <v>572</v>
      </c>
      <c r="D910" s="2" t="s">
        <v>572</v>
      </c>
      <c r="E910" s="2"/>
    </row>
    <row r="911">
      <c r="C911" s="2" t="s">
        <v>572</v>
      </c>
      <c r="D911" s="2" t="s">
        <v>572</v>
      </c>
      <c r="E911" s="2"/>
    </row>
    <row r="912">
      <c r="C912" s="2" t="s">
        <v>572</v>
      </c>
      <c r="D912" s="2" t="s">
        <v>572</v>
      </c>
      <c r="E912" s="2"/>
    </row>
    <row r="913">
      <c r="C913" s="2" t="s">
        <v>572</v>
      </c>
      <c r="D913" s="2" t="s">
        <v>572</v>
      </c>
      <c r="E913" s="2"/>
    </row>
    <row r="914">
      <c r="C914" s="2" t="s">
        <v>572</v>
      </c>
      <c r="D914" s="2" t="s">
        <v>572</v>
      </c>
      <c r="E914" s="2"/>
    </row>
    <row r="915">
      <c r="C915" s="2" t="s">
        <v>572</v>
      </c>
      <c r="D915" s="2" t="s">
        <v>572</v>
      </c>
      <c r="E915" s="2"/>
    </row>
    <row r="916">
      <c r="C916" s="2" t="s">
        <v>572</v>
      </c>
      <c r="D916" s="2" t="s">
        <v>572</v>
      </c>
      <c r="E916" s="2"/>
    </row>
    <row r="917">
      <c r="C917" s="2" t="s">
        <v>572</v>
      </c>
      <c r="D917" s="2" t="s">
        <v>572</v>
      </c>
      <c r="E917" s="2"/>
    </row>
    <row r="918">
      <c r="C918" s="2" t="s">
        <v>572</v>
      </c>
      <c r="D918" s="2" t="s">
        <v>572</v>
      </c>
      <c r="E918" s="2"/>
    </row>
    <row r="919">
      <c r="C919" s="2" t="s">
        <v>572</v>
      </c>
      <c r="D919" s="2" t="s">
        <v>572</v>
      </c>
      <c r="E919" s="2"/>
    </row>
    <row r="920">
      <c r="C920" s="2" t="s">
        <v>572</v>
      </c>
      <c r="D920" s="2" t="s">
        <v>572</v>
      </c>
      <c r="E920" s="2"/>
    </row>
    <row r="921">
      <c r="C921" s="2" t="s">
        <v>572</v>
      </c>
      <c r="D921" s="2" t="s">
        <v>572</v>
      </c>
      <c r="E921" s="2"/>
    </row>
    <row r="922">
      <c r="C922" s="2" t="s">
        <v>572</v>
      </c>
      <c r="D922" s="2" t="s">
        <v>572</v>
      </c>
      <c r="E922" s="2"/>
    </row>
    <row r="923">
      <c r="C923" s="2" t="s">
        <v>572</v>
      </c>
      <c r="D923" s="2" t="s">
        <v>572</v>
      </c>
      <c r="E923" s="2"/>
    </row>
    <row r="924">
      <c r="C924" s="2" t="s">
        <v>572</v>
      </c>
      <c r="D924" s="2" t="s">
        <v>572</v>
      </c>
      <c r="E924" s="2"/>
    </row>
    <row r="925">
      <c r="C925" s="2" t="s">
        <v>572</v>
      </c>
      <c r="D925" s="2" t="s">
        <v>572</v>
      </c>
      <c r="E925" s="2"/>
    </row>
    <row r="926">
      <c r="C926" s="2" t="s">
        <v>572</v>
      </c>
      <c r="D926" s="2" t="s">
        <v>572</v>
      </c>
      <c r="E926" s="2"/>
    </row>
    <row r="927">
      <c r="C927" s="2" t="s">
        <v>572</v>
      </c>
      <c r="D927" s="2" t="s">
        <v>572</v>
      </c>
      <c r="E927" s="2"/>
    </row>
    <row r="928">
      <c r="C928" s="2" t="s">
        <v>572</v>
      </c>
      <c r="D928" s="2" t="s">
        <v>572</v>
      </c>
      <c r="E928" s="2"/>
    </row>
    <row r="929">
      <c r="C929" s="2" t="s">
        <v>572</v>
      </c>
      <c r="D929" s="2" t="s">
        <v>572</v>
      </c>
      <c r="E929" s="2"/>
    </row>
    <row r="930">
      <c r="C930" s="2" t="s">
        <v>572</v>
      </c>
      <c r="D930" s="2" t="s">
        <v>572</v>
      </c>
      <c r="E930" s="2"/>
    </row>
    <row r="931">
      <c r="C931" s="2" t="s">
        <v>572</v>
      </c>
      <c r="D931" s="2" t="s">
        <v>572</v>
      </c>
      <c r="E931" s="2"/>
    </row>
    <row r="932">
      <c r="C932" s="2" t="s">
        <v>572</v>
      </c>
      <c r="D932" s="2" t="s">
        <v>572</v>
      </c>
      <c r="E932" s="2"/>
    </row>
    <row r="933">
      <c r="C933" s="2" t="s">
        <v>572</v>
      </c>
      <c r="D933" s="2" t="s">
        <v>572</v>
      </c>
      <c r="E933" s="2"/>
    </row>
    <row r="934">
      <c r="C934" s="2" t="s">
        <v>572</v>
      </c>
      <c r="D934" s="2" t="s">
        <v>572</v>
      </c>
      <c r="E934" s="2"/>
    </row>
    <row r="935">
      <c r="C935" s="2" t="s">
        <v>572</v>
      </c>
      <c r="D935" s="2" t="s">
        <v>572</v>
      </c>
      <c r="E935" s="2"/>
    </row>
    <row r="936">
      <c r="C936" s="2" t="s">
        <v>572</v>
      </c>
      <c r="D936" s="2" t="s">
        <v>572</v>
      </c>
      <c r="E936" s="2"/>
    </row>
    <row r="937">
      <c r="C937" s="2" t="s">
        <v>572</v>
      </c>
      <c r="D937" s="2" t="s">
        <v>572</v>
      </c>
      <c r="E937" s="2"/>
    </row>
    <row r="938">
      <c r="C938" s="2" t="s">
        <v>572</v>
      </c>
      <c r="D938" s="2" t="s">
        <v>572</v>
      </c>
      <c r="E938" s="2"/>
    </row>
    <row r="939">
      <c r="C939" s="2" t="s">
        <v>572</v>
      </c>
      <c r="D939" s="2" t="s">
        <v>572</v>
      </c>
      <c r="E939" s="2"/>
    </row>
    <row r="940">
      <c r="C940" s="2" t="s">
        <v>572</v>
      </c>
      <c r="D940" s="2" t="s">
        <v>572</v>
      </c>
      <c r="E940" s="2"/>
    </row>
    <row r="941">
      <c r="C941" s="2" t="s">
        <v>572</v>
      </c>
      <c r="D941" s="2" t="s">
        <v>572</v>
      </c>
      <c r="E941" s="2"/>
    </row>
    <row r="942">
      <c r="C942" s="2" t="s">
        <v>572</v>
      </c>
      <c r="D942" s="2" t="s">
        <v>572</v>
      </c>
      <c r="E942" s="2"/>
    </row>
    <row r="943">
      <c r="C943" s="2" t="s">
        <v>572</v>
      </c>
      <c r="D943" s="2" t="s">
        <v>572</v>
      </c>
      <c r="E943" s="2"/>
    </row>
    <row r="944">
      <c r="C944" s="2" t="s">
        <v>572</v>
      </c>
      <c r="D944" s="2" t="s">
        <v>572</v>
      </c>
      <c r="E944" s="2"/>
    </row>
    <row r="945">
      <c r="C945" s="2" t="s">
        <v>572</v>
      </c>
      <c r="D945" s="2" t="s">
        <v>572</v>
      </c>
      <c r="E945" s="2"/>
    </row>
    <row r="946">
      <c r="C946" s="2" t="s">
        <v>572</v>
      </c>
      <c r="D946" s="2" t="s">
        <v>572</v>
      </c>
      <c r="E946" s="2"/>
    </row>
    <row r="947">
      <c r="C947" s="2" t="s">
        <v>572</v>
      </c>
      <c r="D947" s="2" t="s">
        <v>572</v>
      </c>
      <c r="E947" s="2"/>
    </row>
    <row r="948">
      <c r="C948" s="2" t="s">
        <v>572</v>
      </c>
      <c r="D948" s="2" t="s">
        <v>572</v>
      </c>
      <c r="E948" s="2"/>
    </row>
    <row r="949">
      <c r="C949" s="2" t="s">
        <v>572</v>
      </c>
      <c r="D949" s="2" t="s">
        <v>572</v>
      </c>
      <c r="E949" s="2"/>
    </row>
    <row r="950">
      <c r="C950" s="2" t="s">
        <v>572</v>
      </c>
      <c r="D950" s="2" t="s">
        <v>572</v>
      </c>
      <c r="E950" s="2"/>
    </row>
    <row r="951">
      <c r="C951" s="2" t="s">
        <v>572</v>
      </c>
      <c r="D951" s="2" t="s">
        <v>572</v>
      </c>
      <c r="E951" s="2"/>
    </row>
    <row r="952">
      <c r="C952" s="2" t="s">
        <v>572</v>
      </c>
      <c r="D952" s="2" t="s">
        <v>572</v>
      </c>
      <c r="E952" s="2"/>
    </row>
    <row r="953">
      <c r="C953" s="2" t="s">
        <v>572</v>
      </c>
      <c r="D953" s="2" t="s">
        <v>572</v>
      </c>
      <c r="E953" s="2"/>
    </row>
    <row r="954">
      <c r="C954" s="2" t="s">
        <v>572</v>
      </c>
      <c r="D954" s="2" t="s">
        <v>572</v>
      </c>
      <c r="E954" s="2"/>
    </row>
    <row r="955">
      <c r="C955" s="2" t="s">
        <v>572</v>
      </c>
      <c r="D955" s="2" t="s">
        <v>572</v>
      </c>
      <c r="E955" s="2"/>
    </row>
    <row r="956">
      <c r="C956" s="2" t="s">
        <v>572</v>
      </c>
      <c r="D956" s="2" t="s">
        <v>572</v>
      </c>
      <c r="E956" s="2"/>
    </row>
    <row r="957">
      <c r="C957" s="2" t="s">
        <v>572</v>
      </c>
      <c r="D957" s="2" t="s">
        <v>572</v>
      </c>
      <c r="E957" s="2"/>
    </row>
    <row r="958">
      <c r="C958" s="2" t="s">
        <v>572</v>
      </c>
      <c r="D958" s="2" t="s">
        <v>572</v>
      </c>
      <c r="E958" s="2"/>
    </row>
    <row r="959">
      <c r="C959" s="2" t="s">
        <v>572</v>
      </c>
      <c r="D959" s="2" t="s">
        <v>572</v>
      </c>
      <c r="E959" s="2"/>
    </row>
    <row r="960">
      <c r="C960" s="2" t="s">
        <v>572</v>
      </c>
      <c r="D960" s="2" t="s">
        <v>572</v>
      </c>
      <c r="E960" s="2"/>
    </row>
    <row r="961">
      <c r="C961" s="2" t="s">
        <v>572</v>
      </c>
      <c r="D961" s="2" t="s">
        <v>572</v>
      </c>
      <c r="E961" s="2"/>
    </row>
    <row r="962">
      <c r="C962" s="2" t="s">
        <v>572</v>
      </c>
      <c r="D962" s="2" t="s">
        <v>572</v>
      </c>
      <c r="E962" s="2"/>
    </row>
    <row r="963">
      <c r="C963" s="2" t="s">
        <v>572</v>
      </c>
      <c r="D963" s="2" t="s">
        <v>572</v>
      </c>
      <c r="E963" s="2"/>
    </row>
    <row r="964">
      <c r="C964" s="2" t="s">
        <v>572</v>
      </c>
      <c r="D964" s="2" t="s">
        <v>572</v>
      </c>
      <c r="E964" s="2"/>
    </row>
    <row r="965">
      <c r="C965" s="2" t="s">
        <v>572</v>
      </c>
      <c r="D965" s="2" t="s">
        <v>572</v>
      </c>
      <c r="E965" s="2"/>
    </row>
    <row r="966">
      <c r="C966" s="2" t="s">
        <v>572</v>
      </c>
      <c r="D966" s="2" t="s">
        <v>572</v>
      </c>
      <c r="E966" s="2"/>
    </row>
    <row r="967">
      <c r="C967" s="2" t="s">
        <v>572</v>
      </c>
      <c r="D967" s="2" t="s">
        <v>572</v>
      </c>
      <c r="E967" s="2"/>
    </row>
    <row r="968">
      <c r="C968" s="2" t="s">
        <v>572</v>
      </c>
      <c r="D968" s="2" t="s">
        <v>572</v>
      </c>
      <c r="E968" s="2"/>
    </row>
    <row r="969">
      <c r="C969" s="2" t="s">
        <v>572</v>
      </c>
      <c r="D969" s="2" t="s">
        <v>572</v>
      </c>
      <c r="E969" s="2"/>
    </row>
    <row r="970">
      <c r="C970" s="2" t="s">
        <v>572</v>
      </c>
      <c r="D970" s="2" t="s">
        <v>572</v>
      </c>
      <c r="E970" s="2"/>
    </row>
    <row r="971">
      <c r="C971" s="2" t="s">
        <v>572</v>
      </c>
      <c r="D971" s="2" t="s">
        <v>572</v>
      </c>
      <c r="E971" s="2"/>
    </row>
    <row r="972">
      <c r="C972" s="2" t="s">
        <v>572</v>
      </c>
      <c r="D972" s="2" t="s">
        <v>572</v>
      </c>
      <c r="E972" s="2"/>
    </row>
    <row r="973">
      <c r="C973" s="2" t="s">
        <v>572</v>
      </c>
      <c r="D973" s="2" t="s">
        <v>572</v>
      </c>
      <c r="E973" s="2"/>
    </row>
    <row r="974">
      <c r="C974" s="2" t="s">
        <v>572</v>
      </c>
      <c r="D974" s="2" t="s">
        <v>572</v>
      </c>
      <c r="E974" s="2"/>
    </row>
    <row r="975">
      <c r="C975" s="2" t="s">
        <v>572</v>
      </c>
      <c r="D975" s="2" t="s">
        <v>572</v>
      </c>
      <c r="E975" s="2"/>
    </row>
    <row r="976">
      <c r="C976" s="2" t="s">
        <v>572</v>
      </c>
      <c r="D976" s="2" t="s">
        <v>572</v>
      </c>
      <c r="E976" s="2"/>
    </row>
    <row r="977">
      <c r="C977" s="2" t="s">
        <v>572</v>
      </c>
      <c r="D977" s="2" t="s">
        <v>572</v>
      </c>
      <c r="E977" s="2"/>
    </row>
    <row r="978">
      <c r="C978" s="2" t="s">
        <v>572</v>
      </c>
      <c r="D978" s="2" t="s">
        <v>572</v>
      </c>
      <c r="E978" s="2"/>
    </row>
    <row r="979">
      <c r="C979" s="2" t="s">
        <v>572</v>
      </c>
      <c r="D979" s="2" t="s">
        <v>572</v>
      </c>
      <c r="E979" s="2"/>
    </row>
    <row r="980">
      <c r="C980" s="2" t="s">
        <v>572</v>
      </c>
      <c r="D980" s="2" t="s">
        <v>572</v>
      </c>
      <c r="E980" s="2"/>
    </row>
    <row r="981">
      <c r="C981" s="2" t="s">
        <v>572</v>
      </c>
      <c r="D981" s="2" t="s">
        <v>572</v>
      </c>
      <c r="E981" s="2"/>
    </row>
    <row r="982">
      <c r="C982" s="2" t="s">
        <v>572</v>
      </c>
      <c r="D982" s="2" t="s">
        <v>572</v>
      </c>
      <c r="E982" s="2"/>
    </row>
    <row r="983">
      <c r="C983" s="2" t="s">
        <v>572</v>
      </c>
      <c r="D983" s="2" t="s">
        <v>572</v>
      </c>
      <c r="E983" s="2"/>
    </row>
    <row r="984">
      <c r="C984" s="2" t="s">
        <v>572</v>
      </c>
      <c r="D984" s="2" t="s">
        <v>572</v>
      </c>
      <c r="E984" s="2"/>
    </row>
    <row r="985">
      <c r="C985" s="2" t="s">
        <v>572</v>
      </c>
      <c r="D985" s="2" t="s">
        <v>572</v>
      </c>
      <c r="E985" s="2"/>
    </row>
    <row r="986">
      <c r="C986" s="2" t="s">
        <v>572</v>
      </c>
      <c r="D986" s="2" t="s">
        <v>572</v>
      </c>
      <c r="E986" s="2"/>
    </row>
    <row r="987">
      <c r="C987" s="2" t="s">
        <v>572</v>
      </c>
      <c r="D987" s="2" t="s">
        <v>572</v>
      </c>
      <c r="E987" s="2"/>
    </row>
    <row r="988">
      <c r="C988" s="2" t="s">
        <v>572</v>
      </c>
      <c r="D988" s="2" t="s">
        <v>572</v>
      </c>
      <c r="E988" s="2"/>
    </row>
    <row r="989">
      <c r="C989" s="2" t="s">
        <v>572</v>
      </c>
      <c r="D989" s="2" t="s">
        <v>572</v>
      </c>
      <c r="E989" s="2"/>
    </row>
    <row r="990">
      <c r="C990" s="2" t="s">
        <v>572</v>
      </c>
      <c r="D990" s="2" t="s">
        <v>572</v>
      </c>
      <c r="E990" s="2"/>
    </row>
    <row r="991">
      <c r="C991" s="2" t="s">
        <v>572</v>
      </c>
      <c r="D991" s="2" t="s">
        <v>572</v>
      </c>
      <c r="E991" s="2"/>
    </row>
    <row r="992">
      <c r="C992" s="2" t="s">
        <v>572</v>
      </c>
      <c r="D992" s="2" t="s">
        <v>572</v>
      </c>
      <c r="E992" s="2"/>
    </row>
    <row r="993">
      <c r="C993" s="2" t="s">
        <v>572</v>
      </c>
      <c r="D993" s="2" t="s">
        <v>572</v>
      </c>
      <c r="E993" s="2"/>
    </row>
    <row r="994">
      <c r="C994" s="2" t="s">
        <v>572</v>
      </c>
      <c r="D994" s="2" t="s">
        <v>572</v>
      </c>
      <c r="E994" s="2"/>
    </row>
    <row r="995">
      <c r="C995" s="2" t="s">
        <v>572</v>
      </c>
      <c r="D995" s="2" t="s">
        <v>572</v>
      </c>
      <c r="E995" s="2"/>
    </row>
    <row r="996">
      <c r="C996" s="2" t="s">
        <v>572</v>
      </c>
      <c r="D996" s="2" t="s">
        <v>572</v>
      </c>
      <c r="E996" s="2"/>
    </row>
    <row r="997">
      <c r="C997" s="2" t="s">
        <v>572</v>
      </c>
      <c r="D997" s="2" t="s">
        <v>572</v>
      </c>
      <c r="E997" s="2"/>
    </row>
    <row r="998">
      <c r="C998" s="2" t="s">
        <v>572</v>
      </c>
      <c r="D998" s="2" t="s">
        <v>572</v>
      </c>
      <c r="E998" s="2"/>
    </row>
    <row r="999">
      <c r="C999" s="2" t="s">
        <v>572</v>
      </c>
      <c r="D999" s="2" t="s">
        <v>572</v>
      </c>
      <c r="E999" s="2"/>
    </row>
    <row r="1000">
      <c r="C1000" s="2" t="s">
        <v>572</v>
      </c>
      <c r="D1000" s="2" t="s">
        <v>572</v>
      </c>
      <c r="E1000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13.13"/>
    <col customWidth="1" min="3" max="3" width="19.63"/>
  </cols>
  <sheetData>
    <row r="1">
      <c r="A1" s="1" t="str">
        <f>IFERROR(__xludf.DUMMYFUNCTION("QUERY('Constraints &amp; Preferences'!A:E, ""SELECT E, SUM(D) WHERE A LIKE '%Health%' OR A LIKE '%Religion%' GROUP BY E ORDER BY SUM(D) DESC"", 1)
"),"email")</f>
        <v>email</v>
      </c>
      <c r="B1" s="2" t="str">
        <f>IFERROR(__xludf.DUMMYFUNCTION("""COMPUTED_VALUE"""),"sum #slots")</f>
        <v>sum #slots</v>
      </c>
      <c r="C1" s="11"/>
    </row>
    <row r="2">
      <c r="A2" s="2" t="str">
        <f>IFERROR(__xludf.DUMMYFUNCTION("""COMPUTED_VALUE"""),"usman@njit.edu")</f>
        <v>usman@njit.edu</v>
      </c>
      <c r="B2" s="2">
        <f>IFERROR(__xludf.DUMMYFUNCTION("""COMPUTED_VALUE"""),40.0)</f>
        <v>40</v>
      </c>
      <c r="C2" s="11"/>
    </row>
    <row r="3">
      <c r="A3" s="2" t="str">
        <f>IFERROR(__xludf.DUMMYFUNCTION("""COMPUTED_VALUE"""),"rav6@njit.edu")</f>
        <v>rav6@njit.edu</v>
      </c>
      <c r="B3" s="2">
        <f>IFERROR(__xludf.DUMMYFUNCTION("""COMPUTED_VALUE"""),34.0)</f>
        <v>34</v>
      </c>
      <c r="C3" s="11"/>
    </row>
    <row r="4">
      <c r="A4" s="2" t="str">
        <f>IFERROR(__xludf.DUMMYFUNCTION("""COMPUTED_VALUE"""),"dli@njit.edu")</f>
        <v>dli@njit.edu</v>
      </c>
      <c r="B4" s="2">
        <f>IFERROR(__xludf.DUMMYFUNCTION("""COMPUTED_VALUE"""),22.0)</f>
        <v>22</v>
      </c>
      <c r="C4" s="11"/>
    </row>
    <row r="5">
      <c r="A5" s="2" t="str">
        <f>IFERROR(__xludf.DUMMYFUNCTION("""COMPUTED_VALUE"""),"nassimi@njit.edu")</f>
        <v>nassimi@njit.edu</v>
      </c>
      <c r="B5" s="2">
        <f>IFERROR(__xludf.DUMMYFUNCTION("""COMPUTED_VALUE"""),22.0)</f>
        <v>22</v>
      </c>
      <c r="C5" s="11"/>
    </row>
    <row r="6">
      <c r="A6" s="2" t="str">
        <f>IFERROR(__xludf.DUMMYFUNCTION("""COMPUTED_VALUE"""),"tweiss@njit.edu")</f>
        <v>tweiss@njit.edu</v>
      </c>
      <c r="B6" s="2">
        <f>IFERROR(__xludf.DUMMYFUNCTION("""COMPUTED_VALUE"""),21.0)</f>
        <v>21</v>
      </c>
      <c r="C6" s="11"/>
    </row>
    <row r="7">
      <c r="A7" s="2" t="str">
        <f>IFERROR(__xludf.DUMMYFUNCTION("""COMPUTED_VALUE"""),"geller@njit.edu")</f>
        <v>geller@njit.edu</v>
      </c>
      <c r="B7" s="2">
        <f>IFERROR(__xludf.DUMMYFUNCTION("""COMPUTED_VALUE"""),20.0)</f>
        <v>20</v>
      </c>
      <c r="C7" s="11"/>
    </row>
    <row r="8">
      <c r="A8" s="2" t="str">
        <f>IFERROR(__xludf.DUMMYFUNCTION("""COMPUTED_VALUE"""),"lay@njit.edu")</f>
        <v>lay@njit.edu</v>
      </c>
      <c r="B8" s="2">
        <f>IFERROR(__xludf.DUMMYFUNCTION("""COMPUTED_VALUE"""),18.0)</f>
        <v>18</v>
      </c>
      <c r="C8" s="11"/>
    </row>
    <row r="9">
      <c r="A9" s="2" t="str">
        <f>IFERROR(__xludf.DUMMYFUNCTION("""COMPUTED_VALUE"""),"egan@njit.edu")</f>
        <v>egan@njit.edu</v>
      </c>
      <c r="B9" s="2">
        <f>IFERROR(__xludf.DUMMYFUNCTION("""COMPUTED_VALUE"""),16.0)</f>
        <v>16</v>
      </c>
      <c r="C9" s="11"/>
    </row>
    <row r="10">
      <c r="A10" s="2" t="str">
        <f>IFERROR(__xludf.DUMMYFUNCTION("""COMPUTED_VALUE"""),"itani@njit.edu")</f>
        <v>itani@njit.edu</v>
      </c>
      <c r="B10" s="2">
        <f>IFERROR(__xludf.DUMMYFUNCTION("""COMPUTED_VALUE"""),16.0)</f>
        <v>16</v>
      </c>
      <c r="C10" s="11"/>
    </row>
    <row r="11">
      <c r="A11" s="2" t="str">
        <f>IFERROR(__xludf.DUMMYFUNCTION("""COMPUTED_VALUE"""),"skumar@njit.edu")</f>
        <v>skumar@njit.edu</v>
      </c>
      <c r="B11" s="2">
        <f>IFERROR(__xludf.DUMMYFUNCTION("""COMPUTED_VALUE"""),16.0)</f>
        <v>16</v>
      </c>
      <c r="C11" s="11"/>
    </row>
    <row r="12">
      <c r="A12" s="2" t="str">
        <f>IFERROR(__xludf.DUMMYFUNCTION("""COMPUTED_VALUE"""),"cliu@njit.edu")</f>
        <v>cliu@njit.edu</v>
      </c>
      <c r="B12" s="2">
        <f>IFERROR(__xludf.DUMMYFUNCTION("""COMPUTED_VALUE"""),15.0)</f>
        <v>15</v>
      </c>
      <c r="C12" s="11"/>
    </row>
    <row r="13">
      <c r="A13" s="2" t="str">
        <f>IFERROR(__xludf.DUMMYFUNCTION("""COMPUTED_VALUE"""),"ss797@njit.edu")</f>
        <v>ss797@njit.edu</v>
      </c>
      <c r="B13" s="2">
        <f>IFERROR(__xludf.DUMMYFUNCTION("""COMPUTED_VALUE"""),15.0)</f>
        <v>15</v>
      </c>
      <c r="C13" s="11"/>
    </row>
    <row r="14">
      <c r="A14" s="2" t="str">
        <f>IFERROR(__xludf.DUMMYFUNCTION("""COMPUTED_VALUE"""),"ahh2@njit.edu")</f>
        <v>ahh2@njit.edu</v>
      </c>
      <c r="B14" s="2">
        <f>IFERROR(__xludf.DUMMYFUNCTION("""COMPUTED_VALUE"""),14.0)</f>
        <v>14</v>
      </c>
      <c r="C14" s="11"/>
    </row>
    <row r="15">
      <c r="A15" s="2" t="str">
        <f>IFERROR(__xludf.DUMMYFUNCTION("""COMPUTED_VALUE"""),"sohna@njit.edu")</f>
        <v>sohna@njit.edu</v>
      </c>
      <c r="B15" s="2">
        <f>IFERROR(__xludf.DUMMYFUNCTION("""COMPUTED_VALUE"""),10.0)</f>
        <v>10</v>
      </c>
      <c r="C15" s="11"/>
    </row>
    <row r="16">
      <c r="A16" s="2" t="str">
        <f>IFERROR(__xludf.DUMMYFUNCTION("""COMPUTED_VALUE"""),"ba62@njit.edu")</f>
        <v>ba62@njit.edu</v>
      </c>
      <c r="B16" s="2">
        <f>IFERROR(__xludf.DUMMYFUNCTION("""COMPUTED_VALUE"""),8.0)</f>
        <v>8</v>
      </c>
      <c r="C16" s="11"/>
    </row>
    <row r="17">
      <c r="A17" s="2" t="str">
        <f>IFERROR(__xludf.DUMMYFUNCTION("""COMPUTED_VALUE"""),"jingli@njit.edu")</f>
        <v>jingli@njit.edu</v>
      </c>
      <c r="B17" s="2">
        <f>IFERROR(__xludf.DUMMYFUNCTION("""COMPUTED_VALUE"""),5.0)</f>
        <v>5</v>
      </c>
      <c r="C17" s="11"/>
    </row>
    <row r="18">
      <c r="A18" s="2" t="str">
        <f>IFERROR(__xludf.DUMMYFUNCTION("""COMPUTED_VALUE"""),"jw65@njit.edu")</f>
        <v>jw65@njit.edu</v>
      </c>
      <c r="B18" s="2">
        <f>IFERROR(__xludf.DUMMYFUNCTION("""COMPUTED_VALUE"""),4.0)</f>
        <v>4</v>
      </c>
      <c r="C18" s="11"/>
    </row>
    <row r="19">
      <c r="A19" s="2" t="str">
        <f>IFERROR(__xludf.DUMMYFUNCTION("""COMPUTED_VALUE"""),"azi3@njit.edu")</f>
        <v>azi3@njit.edu</v>
      </c>
      <c r="B19" s="2">
        <f>IFERROR(__xludf.DUMMYFUNCTION("""COMPUTED_VALUE"""),1.0)</f>
        <v>1</v>
      </c>
      <c r="C19" s="11"/>
    </row>
    <row r="20">
      <c r="C20" s="11"/>
    </row>
    <row r="21">
      <c r="C21" s="11"/>
    </row>
    <row r="22">
      <c r="C22" s="11"/>
    </row>
    <row r="23">
      <c r="C23" s="11"/>
    </row>
    <row r="24">
      <c r="C24" s="11"/>
    </row>
    <row r="25">
      <c r="C25" s="11"/>
    </row>
    <row r="26">
      <c r="C26" s="11"/>
    </row>
    <row r="27">
      <c r="C27" s="11"/>
    </row>
    <row r="28">
      <c r="C28" s="11"/>
    </row>
    <row r="29">
      <c r="C29" s="11"/>
    </row>
    <row r="30">
      <c r="C30" s="11"/>
    </row>
    <row r="31">
      <c r="C31" s="11"/>
    </row>
    <row r="32">
      <c r="C32" s="11"/>
    </row>
    <row r="33">
      <c r="C33" s="11"/>
    </row>
    <row r="34">
      <c r="C34" s="11"/>
    </row>
    <row r="35">
      <c r="C35" s="11"/>
    </row>
    <row r="36">
      <c r="C36" s="11"/>
    </row>
    <row r="37">
      <c r="C37" s="11"/>
    </row>
    <row r="38">
      <c r="C38" s="11"/>
    </row>
    <row r="39">
      <c r="C39" s="11"/>
    </row>
    <row r="40">
      <c r="C40" s="11"/>
    </row>
    <row r="41">
      <c r="C41" s="11"/>
    </row>
    <row r="42">
      <c r="C42" s="11"/>
    </row>
    <row r="43">
      <c r="C43" s="11"/>
    </row>
    <row r="44">
      <c r="C44" s="11"/>
    </row>
    <row r="45">
      <c r="C45" s="11"/>
    </row>
    <row r="46">
      <c r="C46" s="11"/>
    </row>
    <row r="47">
      <c r="C47" s="11"/>
    </row>
    <row r="48">
      <c r="C48" s="11"/>
    </row>
    <row r="49">
      <c r="C49" s="11"/>
    </row>
    <row r="50">
      <c r="C50" s="11"/>
    </row>
    <row r="51">
      <c r="C51" s="11"/>
    </row>
    <row r="52">
      <c r="C52" s="11"/>
    </row>
    <row r="53">
      <c r="C53" s="11"/>
    </row>
    <row r="54">
      <c r="C54" s="11"/>
    </row>
    <row r="55">
      <c r="C55" s="11"/>
    </row>
    <row r="56">
      <c r="C56" s="11"/>
    </row>
    <row r="57">
      <c r="C57" s="11"/>
    </row>
    <row r="58">
      <c r="C58" s="11"/>
    </row>
    <row r="59">
      <c r="C59" s="11"/>
    </row>
    <row r="60">
      <c r="C60" s="11"/>
    </row>
    <row r="61">
      <c r="C61" s="11"/>
    </row>
    <row r="62">
      <c r="C62" s="11"/>
    </row>
    <row r="63">
      <c r="C63" s="11"/>
    </row>
    <row r="64">
      <c r="C64" s="11"/>
    </row>
    <row r="65">
      <c r="C65" s="11"/>
    </row>
    <row r="66">
      <c r="C66" s="11"/>
    </row>
    <row r="67">
      <c r="C67" s="11"/>
    </row>
    <row r="68">
      <c r="C68" s="11"/>
    </row>
    <row r="69">
      <c r="C69" s="11"/>
    </row>
    <row r="70">
      <c r="C70" s="11"/>
    </row>
    <row r="71">
      <c r="C71" s="11"/>
    </row>
    <row r="72">
      <c r="C72" s="11"/>
    </row>
    <row r="73">
      <c r="C73" s="11"/>
    </row>
    <row r="74">
      <c r="C74" s="11"/>
    </row>
    <row r="75">
      <c r="C75" s="11"/>
    </row>
    <row r="76">
      <c r="C76" s="11"/>
    </row>
    <row r="77">
      <c r="C77" s="11"/>
    </row>
    <row r="78">
      <c r="C78" s="11"/>
    </row>
    <row r="79">
      <c r="C79" s="11"/>
    </row>
    <row r="80">
      <c r="C80" s="11"/>
    </row>
    <row r="81">
      <c r="C81" s="11"/>
    </row>
    <row r="82">
      <c r="C82" s="11"/>
    </row>
    <row r="83">
      <c r="C83" s="11"/>
    </row>
    <row r="84">
      <c r="C84" s="11"/>
    </row>
    <row r="85">
      <c r="C85" s="11"/>
    </row>
    <row r="86">
      <c r="C86" s="11"/>
    </row>
    <row r="87">
      <c r="C87" s="11"/>
    </row>
    <row r="88">
      <c r="C88" s="11"/>
    </row>
    <row r="89">
      <c r="C89" s="11"/>
    </row>
    <row r="90">
      <c r="C90" s="11"/>
    </row>
    <row r="91">
      <c r="C91" s="11"/>
    </row>
    <row r="92">
      <c r="C92" s="11"/>
    </row>
    <row r="93">
      <c r="C93" s="11"/>
    </row>
    <row r="94">
      <c r="C94" s="11"/>
    </row>
    <row r="95">
      <c r="C95" s="11"/>
    </row>
    <row r="96">
      <c r="C96" s="11"/>
    </row>
    <row r="97">
      <c r="C97" s="11"/>
    </row>
    <row r="98">
      <c r="C98" s="11"/>
    </row>
    <row r="99">
      <c r="C99" s="11"/>
    </row>
    <row r="100">
      <c r="C100" s="11"/>
    </row>
    <row r="101">
      <c r="C101" s="11"/>
    </row>
    <row r="102">
      <c r="C102" s="11"/>
    </row>
    <row r="103">
      <c r="C103" s="11"/>
    </row>
    <row r="104">
      <c r="C104" s="11"/>
    </row>
    <row r="105">
      <c r="C105" s="11"/>
    </row>
    <row r="106">
      <c r="C106" s="11"/>
    </row>
    <row r="107">
      <c r="C107" s="11"/>
    </row>
    <row r="108">
      <c r="C108" s="11"/>
    </row>
    <row r="109">
      <c r="C109" s="11"/>
    </row>
    <row r="110">
      <c r="C110" s="11"/>
    </row>
    <row r="111">
      <c r="C111" s="11"/>
    </row>
    <row r="112">
      <c r="C112" s="11"/>
    </row>
    <row r="113">
      <c r="C113" s="11"/>
    </row>
    <row r="114">
      <c r="C114" s="11"/>
    </row>
    <row r="115">
      <c r="C115" s="11"/>
    </row>
    <row r="116">
      <c r="C116" s="11"/>
    </row>
    <row r="117">
      <c r="C117" s="11"/>
    </row>
    <row r="118">
      <c r="C118" s="11"/>
    </row>
    <row r="119">
      <c r="C119" s="11"/>
    </row>
    <row r="120">
      <c r="C120" s="11"/>
    </row>
    <row r="121">
      <c r="C121" s="11"/>
    </row>
    <row r="122">
      <c r="C122" s="11"/>
    </row>
    <row r="123">
      <c r="C123" s="11"/>
    </row>
    <row r="124">
      <c r="C124" s="11"/>
    </row>
    <row r="125">
      <c r="C125" s="11"/>
    </row>
    <row r="126">
      <c r="C126" s="11"/>
    </row>
    <row r="127">
      <c r="C127" s="11"/>
    </row>
    <row r="128">
      <c r="C128" s="11"/>
    </row>
    <row r="129">
      <c r="C129" s="11"/>
    </row>
    <row r="130">
      <c r="C130" s="11"/>
    </row>
    <row r="131">
      <c r="C131" s="11"/>
    </row>
    <row r="132">
      <c r="C132" s="11"/>
    </row>
    <row r="133">
      <c r="C133" s="11"/>
    </row>
    <row r="134">
      <c r="C134" s="11"/>
    </row>
    <row r="135">
      <c r="C135" s="11"/>
    </row>
    <row r="136">
      <c r="C136" s="11"/>
    </row>
    <row r="137">
      <c r="C137" s="11"/>
    </row>
    <row r="138">
      <c r="C138" s="11"/>
    </row>
    <row r="139">
      <c r="C139" s="11"/>
    </row>
    <row r="140">
      <c r="C140" s="11"/>
    </row>
    <row r="141">
      <c r="C141" s="11"/>
    </row>
    <row r="142">
      <c r="C142" s="11"/>
    </row>
    <row r="143">
      <c r="C143" s="11"/>
    </row>
    <row r="144">
      <c r="C144" s="11"/>
    </row>
    <row r="145">
      <c r="C145" s="11"/>
    </row>
    <row r="146">
      <c r="C146" s="11"/>
    </row>
    <row r="147">
      <c r="C147" s="11"/>
    </row>
    <row r="148">
      <c r="C148" s="11"/>
    </row>
    <row r="149">
      <c r="C149" s="11"/>
    </row>
    <row r="150">
      <c r="C150" s="11"/>
    </row>
    <row r="151">
      <c r="C151" s="11"/>
    </row>
    <row r="152">
      <c r="C152" s="11"/>
    </row>
    <row r="153">
      <c r="C153" s="11"/>
    </row>
    <row r="154">
      <c r="C154" s="11"/>
    </row>
    <row r="155">
      <c r="C155" s="11"/>
    </row>
    <row r="156">
      <c r="C156" s="11"/>
    </row>
    <row r="157">
      <c r="C157" s="11"/>
    </row>
    <row r="158">
      <c r="C158" s="11"/>
    </row>
    <row r="159">
      <c r="C159" s="11"/>
    </row>
    <row r="160">
      <c r="C160" s="11"/>
    </row>
    <row r="161">
      <c r="C161" s="11"/>
    </row>
    <row r="162">
      <c r="C162" s="11"/>
    </row>
    <row r="163">
      <c r="C163" s="11"/>
    </row>
    <row r="164">
      <c r="C164" s="11"/>
    </row>
    <row r="165">
      <c r="C165" s="11"/>
    </row>
    <row r="166">
      <c r="C166" s="11"/>
    </row>
    <row r="167">
      <c r="C167" s="11"/>
    </row>
    <row r="168">
      <c r="C168" s="11"/>
    </row>
    <row r="169">
      <c r="C169" s="11"/>
    </row>
    <row r="170">
      <c r="C170" s="11"/>
    </row>
    <row r="171">
      <c r="C171" s="11"/>
    </row>
    <row r="172">
      <c r="C172" s="11"/>
    </row>
    <row r="173">
      <c r="C173" s="11"/>
    </row>
    <row r="174">
      <c r="C174" s="11"/>
    </row>
    <row r="175">
      <c r="C175" s="11"/>
    </row>
    <row r="176">
      <c r="C176" s="11"/>
    </row>
    <row r="177">
      <c r="C177" s="11"/>
    </row>
    <row r="178">
      <c r="C178" s="11"/>
    </row>
    <row r="179">
      <c r="C179" s="11"/>
    </row>
    <row r="180">
      <c r="C180" s="11"/>
    </row>
    <row r="181">
      <c r="C181" s="11"/>
    </row>
    <row r="182">
      <c r="C182" s="11"/>
    </row>
    <row r="183">
      <c r="C183" s="11"/>
    </row>
    <row r="184">
      <c r="C184" s="11"/>
    </row>
    <row r="185">
      <c r="C185" s="11"/>
    </row>
    <row r="186">
      <c r="C186" s="11"/>
    </row>
    <row r="187">
      <c r="C187" s="11"/>
    </row>
    <row r="188">
      <c r="C188" s="11"/>
    </row>
    <row r="189">
      <c r="C189" s="11"/>
    </row>
    <row r="190">
      <c r="C190" s="11"/>
    </row>
    <row r="191">
      <c r="C191" s="11"/>
    </row>
    <row r="192">
      <c r="C192" s="11"/>
    </row>
    <row r="193">
      <c r="C193" s="11"/>
    </row>
    <row r="194">
      <c r="C194" s="11"/>
    </row>
    <row r="195">
      <c r="C195" s="11"/>
    </row>
    <row r="196">
      <c r="C196" s="11"/>
    </row>
    <row r="197">
      <c r="C197" s="11"/>
    </row>
    <row r="198">
      <c r="C198" s="11"/>
    </row>
    <row r="199">
      <c r="C199" s="11"/>
    </row>
    <row r="200">
      <c r="C200" s="11"/>
    </row>
    <row r="201">
      <c r="C201" s="11"/>
    </row>
    <row r="202">
      <c r="C202" s="11"/>
    </row>
    <row r="203">
      <c r="C203" s="11"/>
    </row>
    <row r="204">
      <c r="C204" s="11"/>
    </row>
    <row r="205">
      <c r="C205" s="11"/>
    </row>
    <row r="206">
      <c r="C206" s="11"/>
    </row>
    <row r="207">
      <c r="C207" s="11"/>
    </row>
    <row r="208">
      <c r="C208" s="11"/>
    </row>
    <row r="209">
      <c r="C209" s="11"/>
    </row>
    <row r="210">
      <c r="C210" s="11"/>
    </row>
    <row r="211">
      <c r="C211" s="11"/>
    </row>
    <row r="212">
      <c r="C212" s="11"/>
    </row>
    <row r="213">
      <c r="C213" s="11"/>
    </row>
    <row r="214">
      <c r="C214" s="11"/>
    </row>
    <row r="215">
      <c r="C215" s="11"/>
    </row>
    <row r="216">
      <c r="C216" s="11"/>
    </row>
    <row r="217">
      <c r="C217" s="11"/>
    </row>
    <row r="218">
      <c r="C218" s="11"/>
    </row>
    <row r="219">
      <c r="C219" s="11"/>
    </row>
    <row r="220">
      <c r="C220" s="11"/>
    </row>
    <row r="221">
      <c r="C221" s="11"/>
    </row>
    <row r="222">
      <c r="C222" s="11"/>
    </row>
    <row r="223">
      <c r="C223" s="11"/>
    </row>
    <row r="224">
      <c r="C224" s="11"/>
    </row>
    <row r="225">
      <c r="C225" s="11"/>
    </row>
    <row r="226">
      <c r="C226" s="11"/>
    </row>
    <row r="227">
      <c r="C227" s="11"/>
    </row>
    <row r="228">
      <c r="C228" s="11"/>
    </row>
    <row r="229">
      <c r="C229" s="11"/>
    </row>
    <row r="230">
      <c r="C230" s="11"/>
    </row>
    <row r="231">
      <c r="C231" s="11"/>
    </row>
    <row r="232">
      <c r="C232" s="11"/>
    </row>
    <row r="233">
      <c r="C233" s="11"/>
    </row>
    <row r="234">
      <c r="C234" s="11"/>
    </row>
    <row r="235">
      <c r="C235" s="11"/>
    </row>
    <row r="236">
      <c r="C236" s="11"/>
    </row>
    <row r="237">
      <c r="C237" s="11"/>
    </row>
    <row r="238">
      <c r="C238" s="11"/>
    </row>
    <row r="239">
      <c r="C239" s="11"/>
    </row>
    <row r="240">
      <c r="C240" s="11"/>
    </row>
    <row r="241">
      <c r="C241" s="11"/>
    </row>
    <row r="242">
      <c r="C242" s="11"/>
    </row>
    <row r="243">
      <c r="C243" s="11"/>
    </row>
    <row r="244">
      <c r="C244" s="11"/>
    </row>
    <row r="245">
      <c r="C245" s="11"/>
    </row>
    <row r="246">
      <c r="C246" s="11"/>
    </row>
    <row r="247">
      <c r="C247" s="11"/>
    </row>
    <row r="248">
      <c r="C248" s="11"/>
    </row>
    <row r="249">
      <c r="C249" s="11"/>
    </row>
    <row r="250">
      <c r="C250" s="11"/>
    </row>
    <row r="251">
      <c r="C251" s="11"/>
    </row>
    <row r="252">
      <c r="C252" s="11"/>
    </row>
    <row r="253">
      <c r="C253" s="11"/>
    </row>
    <row r="254">
      <c r="C254" s="11"/>
    </row>
    <row r="255">
      <c r="C255" s="11"/>
    </row>
    <row r="256">
      <c r="C256" s="11"/>
    </row>
    <row r="257">
      <c r="C257" s="11"/>
    </row>
    <row r="258">
      <c r="C258" s="11"/>
    </row>
    <row r="259">
      <c r="C259" s="11"/>
    </row>
    <row r="260">
      <c r="C260" s="11"/>
    </row>
    <row r="261">
      <c r="C261" s="11"/>
    </row>
    <row r="262">
      <c r="C262" s="11"/>
    </row>
    <row r="263">
      <c r="C263" s="11"/>
    </row>
    <row r="264">
      <c r="C264" s="11"/>
    </row>
    <row r="265">
      <c r="C265" s="11"/>
    </row>
    <row r="266">
      <c r="C266" s="11"/>
    </row>
    <row r="267">
      <c r="C267" s="11"/>
    </row>
    <row r="268">
      <c r="C268" s="11"/>
    </row>
    <row r="269">
      <c r="C269" s="11"/>
    </row>
    <row r="270">
      <c r="C270" s="11"/>
    </row>
    <row r="271">
      <c r="C271" s="11"/>
    </row>
    <row r="272">
      <c r="C272" s="11"/>
    </row>
    <row r="273">
      <c r="C273" s="11"/>
    </row>
    <row r="274">
      <c r="C274" s="11"/>
    </row>
    <row r="275">
      <c r="C275" s="11"/>
    </row>
    <row r="276">
      <c r="C276" s="11"/>
    </row>
    <row r="277">
      <c r="C277" s="11"/>
    </row>
    <row r="278">
      <c r="C278" s="11"/>
    </row>
    <row r="279">
      <c r="C279" s="11"/>
    </row>
    <row r="280">
      <c r="C280" s="11"/>
    </row>
    <row r="281">
      <c r="C281" s="11"/>
    </row>
    <row r="282">
      <c r="C282" s="11"/>
    </row>
    <row r="283">
      <c r="C283" s="11"/>
    </row>
    <row r="284">
      <c r="C284" s="11"/>
    </row>
    <row r="285">
      <c r="C285" s="11"/>
    </row>
    <row r="286">
      <c r="C286" s="11"/>
    </row>
    <row r="287">
      <c r="C287" s="11"/>
    </row>
    <row r="288">
      <c r="C288" s="11"/>
    </row>
    <row r="289">
      <c r="C289" s="11"/>
    </row>
    <row r="290">
      <c r="C290" s="11"/>
    </row>
    <row r="291">
      <c r="C291" s="11"/>
    </row>
    <row r="292">
      <c r="C292" s="11"/>
    </row>
    <row r="293">
      <c r="C293" s="11"/>
    </row>
    <row r="294">
      <c r="C294" s="11"/>
    </row>
    <row r="295">
      <c r="C295" s="11"/>
    </row>
    <row r="296">
      <c r="C296" s="11"/>
    </row>
    <row r="297">
      <c r="C297" s="11"/>
    </row>
    <row r="298">
      <c r="C298" s="11"/>
    </row>
    <row r="299">
      <c r="C299" s="11"/>
    </row>
    <row r="300">
      <c r="C300" s="11"/>
    </row>
    <row r="301">
      <c r="C301" s="11"/>
    </row>
    <row r="302">
      <c r="C302" s="11"/>
    </row>
    <row r="303">
      <c r="C303" s="11"/>
    </row>
    <row r="304">
      <c r="C304" s="11"/>
    </row>
    <row r="305">
      <c r="C305" s="11"/>
    </row>
    <row r="306">
      <c r="C306" s="11"/>
    </row>
    <row r="307">
      <c r="C307" s="11"/>
    </row>
    <row r="308">
      <c r="C308" s="11"/>
    </row>
    <row r="309">
      <c r="C309" s="11"/>
    </row>
    <row r="310">
      <c r="C310" s="11"/>
    </row>
    <row r="311">
      <c r="C311" s="11"/>
    </row>
    <row r="312">
      <c r="C312" s="11"/>
    </row>
    <row r="313">
      <c r="C313" s="11"/>
    </row>
    <row r="314">
      <c r="C314" s="11"/>
    </row>
    <row r="315">
      <c r="C315" s="11"/>
    </row>
    <row r="316">
      <c r="C316" s="11"/>
    </row>
    <row r="317">
      <c r="C317" s="11"/>
    </row>
    <row r="318">
      <c r="C318" s="11"/>
    </row>
    <row r="319">
      <c r="C319" s="11"/>
    </row>
    <row r="320">
      <c r="C320" s="11"/>
    </row>
    <row r="321">
      <c r="C321" s="11"/>
    </row>
    <row r="322">
      <c r="C322" s="11"/>
    </row>
    <row r="323">
      <c r="C323" s="11"/>
    </row>
    <row r="324">
      <c r="C324" s="11"/>
    </row>
    <row r="325">
      <c r="C325" s="11"/>
    </row>
    <row r="326">
      <c r="C326" s="11"/>
    </row>
    <row r="327">
      <c r="C327" s="11"/>
    </row>
    <row r="328">
      <c r="C328" s="11"/>
    </row>
    <row r="329">
      <c r="C329" s="11"/>
    </row>
    <row r="330">
      <c r="C330" s="11"/>
    </row>
    <row r="331">
      <c r="C331" s="11"/>
    </row>
    <row r="332">
      <c r="C332" s="11"/>
    </row>
    <row r="333">
      <c r="C333" s="11"/>
    </row>
    <row r="334">
      <c r="C334" s="11"/>
    </row>
    <row r="335">
      <c r="C335" s="11"/>
    </row>
    <row r="336">
      <c r="C336" s="11"/>
    </row>
    <row r="337">
      <c r="C337" s="11"/>
    </row>
    <row r="338">
      <c r="C338" s="11"/>
    </row>
    <row r="339">
      <c r="C339" s="11"/>
    </row>
    <row r="340">
      <c r="C340" s="11"/>
    </row>
    <row r="341">
      <c r="C341" s="11"/>
    </row>
    <row r="342">
      <c r="C342" s="11"/>
    </row>
    <row r="343">
      <c r="C343" s="11"/>
    </row>
    <row r="344">
      <c r="C344" s="11"/>
    </row>
    <row r="345">
      <c r="C345" s="11"/>
    </row>
    <row r="346">
      <c r="C346" s="11"/>
    </row>
    <row r="347">
      <c r="C347" s="11"/>
    </row>
    <row r="348">
      <c r="C348" s="11"/>
    </row>
    <row r="349">
      <c r="C349" s="11"/>
    </row>
    <row r="350">
      <c r="C350" s="11"/>
    </row>
    <row r="351">
      <c r="C351" s="11"/>
    </row>
    <row r="352">
      <c r="C352" s="11"/>
    </row>
    <row r="353">
      <c r="C353" s="11"/>
    </row>
    <row r="354">
      <c r="C354" s="11"/>
    </row>
    <row r="355">
      <c r="C355" s="11"/>
    </row>
    <row r="356">
      <c r="C356" s="11"/>
    </row>
    <row r="357">
      <c r="C357" s="11"/>
    </row>
    <row r="358">
      <c r="C358" s="11"/>
    </row>
    <row r="359">
      <c r="C359" s="11"/>
    </row>
    <row r="360">
      <c r="C360" s="11"/>
    </row>
    <row r="361">
      <c r="C361" s="11"/>
    </row>
    <row r="362">
      <c r="C362" s="11"/>
    </row>
    <row r="363">
      <c r="C363" s="11"/>
    </row>
    <row r="364">
      <c r="C364" s="11"/>
    </row>
    <row r="365">
      <c r="C365" s="11"/>
    </row>
    <row r="366">
      <c r="C366" s="11"/>
    </row>
    <row r="367">
      <c r="C367" s="11"/>
    </row>
    <row r="368">
      <c r="C368" s="11"/>
    </row>
    <row r="369">
      <c r="C369" s="11"/>
    </row>
    <row r="370">
      <c r="C370" s="11"/>
    </row>
    <row r="371">
      <c r="C371" s="11"/>
    </row>
    <row r="372">
      <c r="C372" s="11"/>
    </row>
    <row r="373">
      <c r="C373" s="11"/>
    </row>
    <row r="374">
      <c r="C374" s="11"/>
    </row>
    <row r="375">
      <c r="C375" s="11"/>
    </row>
    <row r="376">
      <c r="C376" s="11"/>
    </row>
    <row r="377">
      <c r="C377" s="11"/>
    </row>
    <row r="378">
      <c r="C378" s="11"/>
    </row>
    <row r="379">
      <c r="C379" s="11"/>
    </row>
    <row r="380">
      <c r="C380" s="11"/>
    </row>
    <row r="381">
      <c r="C381" s="11"/>
    </row>
    <row r="382">
      <c r="C382" s="11"/>
    </row>
    <row r="383">
      <c r="C383" s="11"/>
    </row>
    <row r="384">
      <c r="C384" s="11"/>
    </row>
    <row r="385">
      <c r="C385" s="11"/>
    </row>
    <row r="386">
      <c r="C386" s="11"/>
    </row>
    <row r="387">
      <c r="C387" s="11"/>
    </row>
    <row r="388">
      <c r="C388" s="11"/>
    </row>
    <row r="389">
      <c r="C389" s="11"/>
    </row>
    <row r="390">
      <c r="C390" s="11"/>
    </row>
    <row r="391">
      <c r="C391" s="11"/>
    </row>
    <row r="392">
      <c r="C392" s="11"/>
    </row>
    <row r="393">
      <c r="C393" s="11"/>
    </row>
    <row r="394">
      <c r="C394" s="11"/>
    </row>
    <row r="395">
      <c r="C395" s="11"/>
    </row>
    <row r="396">
      <c r="C396" s="11"/>
    </row>
    <row r="397">
      <c r="C397" s="11"/>
    </row>
    <row r="398">
      <c r="C398" s="11"/>
    </row>
    <row r="399">
      <c r="C399" s="11"/>
    </row>
    <row r="400">
      <c r="C400" s="11"/>
    </row>
    <row r="401">
      <c r="C401" s="11"/>
    </row>
    <row r="402">
      <c r="C402" s="11"/>
    </row>
    <row r="403">
      <c r="C403" s="11"/>
    </row>
    <row r="404">
      <c r="C404" s="11"/>
    </row>
    <row r="405">
      <c r="C405" s="11"/>
    </row>
    <row r="406">
      <c r="C406" s="11"/>
    </row>
    <row r="407">
      <c r="C407" s="11"/>
    </row>
    <row r="408">
      <c r="C408" s="11"/>
    </row>
    <row r="409">
      <c r="C409" s="11"/>
    </row>
    <row r="410">
      <c r="C410" s="11"/>
    </row>
    <row r="411">
      <c r="C411" s="11"/>
    </row>
    <row r="412">
      <c r="C412" s="11"/>
    </row>
    <row r="413">
      <c r="C413" s="11"/>
    </row>
    <row r="414">
      <c r="C414" s="11"/>
    </row>
    <row r="415">
      <c r="C415" s="11"/>
    </row>
    <row r="416">
      <c r="C416" s="11"/>
    </row>
    <row r="417">
      <c r="C417" s="11"/>
    </row>
    <row r="418">
      <c r="C418" s="11"/>
    </row>
    <row r="419">
      <c r="C419" s="11"/>
    </row>
    <row r="420">
      <c r="C420" s="11"/>
    </row>
    <row r="421">
      <c r="C421" s="11"/>
    </row>
    <row r="422">
      <c r="C422" s="11"/>
    </row>
    <row r="423">
      <c r="C423" s="11"/>
    </row>
    <row r="424">
      <c r="C424" s="11"/>
    </row>
    <row r="425">
      <c r="C425" s="11"/>
    </row>
    <row r="426">
      <c r="C426" s="11"/>
    </row>
    <row r="427">
      <c r="C427" s="11"/>
    </row>
    <row r="428">
      <c r="C428" s="11"/>
    </row>
    <row r="429">
      <c r="C429" s="11"/>
    </row>
    <row r="430">
      <c r="C430" s="11"/>
    </row>
    <row r="431">
      <c r="C431" s="11"/>
    </row>
    <row r="432">
      <c r="C432" s="11"/>
    </row>
    <row r="433">
      <c r="C433" s="11"/>
    </row>
    <row r="434">
      <c r="C434" s="11"/>
    </row>
    <row r="435">
      <c r="C435" s="11"/>
    </row>
    <row r="436">
      <c r="C436" s="11"/>
    </row>
    <row r="437">
      <c r="C437" s="11"/>
    </row>
    <row r="438">
      <c r="C438" s="11"/>
    </row>
    <row r="439">
      <c r="C439" s="11"/>
    </row>
    <row r="440">
      <c r="C440" s="11"/>
    </row>
    <row r="441">
      <c r="C441" s="11"/>
    </row>
    <row r="442">
      <c r="C442" s="11"/>
    </row>
    <row r="443">
      <c r="C443" s="11"/>
    </row>
    <row r="444">
      <c r="C444" s="11"/>
    </row>
    <row r="445">
      <c r="C445" s="11"/>
    </row>
    <row r="446">
      <c r="C446" s="11"/>
    </row>
    <row r="447">
      <c r="C447" s="11"/>
    </row>
    <row r="448">
      <c r="C448" s="11"/>
    </row>
    <row r="449">
      <c r="C449" s="11"/>
    </row>
    <row r="450">
      <c r="C450" s="11"/>
    </row>
    <row r="451">
      <c r="C451" s="11"/>
    </row>
    <row r="452">
      <c r="C452" s="11"/>
    </row>
    <row r="453">
      <c r="C453" s="11"/>
    </row>
    <row r="454">
      <c r="C454" s="11"/>
    </row>
    <row r="455">
      <c r="C455" s="11"/>
    </row>
    <row r="456">
      <c r="C456" s="11"/>
    </row>
    <row r="457">
      <c r="C457" s="11"/>
    </row>
    <row r="458">
      <c r="C458" s="11"/>
    </row>
    <row r="459">
      <c r="C459" s="11"/>
    </row>
    <row r="460">
      <c r="C460" s="11"/>
    </row>
    <row r="461">
      <c r="C461" s="11"/>
    </row>
    <row r="462">
      <c r="C462" s="11"/>
    </row>
    <row r="463">
      <c r="C463" s="11"/>
    </row>
    <row r="464">
      <c r="C464" s="11"/>
    </row>
    <row r="465">
      <c r="C465" s="11"/>
    </row>
    <row r="466">
      <c r="C466" s="11"/>
    </row>
    <row r="467">
      <c r="C467" s="11"/>
    </row>
    <row r="468">
      <c r="C468" s="11"/>
    </row>
    <row r="469">
      <c r="C469" s="11"/>
    </row>
    <row r="470">
      <c r="C470" s="11"/>
    </row>
    <row r="471">
      <c r="C471" s="11"/>
    </row>
    <row r="472">
      <c r="C472" s="11"/>
    </row>
    <row r="473">
      <c r="C473" s="11"/>
    </row>
    <row r="474">
      <c r="C474" s="11"/>
    </row>
    <row r="475">
      <c r="C475" s="11"/>
    </row>
    <row r="476">
      <c r="C476" s="11"/>
    </row>
    <row r="477">
      <c r="C477" s="11"/>
    </row>
    <row r="478">
      <c r="C478" s="11"/>
    </row>
    <row r="479">
      <c r="C479" s="11"/>
    </row>
    <row r="480">
      <c r="C480" s="11"/>
    </row>
    <row r="481">
      <c r="C481" s="11"/>
    </row>
    <row r="482">
      <c r="C482" s="11"/>
    </row>
    <row r="483">
      <c r="C483" s="11"/>
    </row>
    <row r="484">
      <c r="C484" s="11"/>
    </row>
    <row r="485">
      <c r="C485" s="11"/>
    </row>
    <row r="486">
      <c r="C486" s="11"/>
    </row>
    <row r="487">
      <c r="C487" s="11"/>
    </row>
    <row r="488">
      <c r="C488" s="11"/>
    </row>
    <row r="489">
      <c r="C489" s="11"/>
    </row>
    <row r="490">
      <c r="C490" s="11"/>
    </row>
    <row r="491">
      <c r="C491" s="11"/>
    </row>
    <row r="492">
      <c r="C492" s="11"/>
    </row>
    <row r="493">
      <c r="C493" s="11"/>
    </row>
    <row r="494">
      <c r="C494" s="11"/>
    </row>
    <row r="495">
      <c r="C495" s="11"/>
    </row>
    <row r="496">
      <c r="C496" s="11"/>
    </row>
    <row r="497">
      <c r="C497" s="11"/>
    </row>
    <row r="498">
      <c r="C498" s="11"/>
    </row>
    <row r="499">
      <c r="C499" s="11"/>
    </row>
    <row r="500">
      <c r="C500" s="11"/>
    </row>
    <row r="501">
      <c r="C501" s="11"/>
    </row>
    <row r="502">
      <c r="C502" s="11"/>
    </row>
    <row r="503">
      <c r="C503" s="11"/>
    </row>
    <row r="504">
      <c r="C504" s="11"/>
    </row>
    <row r="505">
      <c r="C505" s="11"/>
    </row>
    <row r="506">
      <c r="C506" s="11"/>
    </row>
    <row r="507">
      <c r="C507" s="11"/>
    </row>
    <row r="508">
      <c r="C508" s="11"/>
    </row>
    <row r="509">
      <c r="C509" s="11"/>
    </row>
    <row r="510">
      <c r="C510" s="11"/>
    </row>
    <row r="511">
      <c r="C511" s="11"/>
    </row>
    <row r="512">
      <c r="C512" s="11"/>
    </row>
    <row r="513">
      <c r="C513" s="11"/>
    </row>
    <row r="514">
      <c r="C514" s="11"/>
    </row>
    <row r="515">
      <c r="C515" s="11"/>
    </row>
    <row r="516">
      <c r="C516" s="11"/>
    </row>
    <row r="517">
      <c r="C517" s="11"/>
    </row>
    <row r="518">
      <c r="C518" s="11"/>
    </row>
    <row r="519">
      <c r="C519" s="11"/>
    </row>
    <row r="520">
      <c r="C520" s="11"/>
    </row>
    <row r="521">
      <c r="C521" s="11"/>
    </row>
    <row r="522">
      <c r="C522" s="11"/>
    </row>
    <row r="523">
      <c r="C523" s="11"/>
    </row>
    <row r="524">
      <c r="C524" s="11"/>
    </row>
    <row r="525">
      <c r="C525" s="11"/>
    </row>
    <row r="526">
      <c r="C526" s="11"/>
    </row>
    <row r="527">
      <c r="C527" s="11"/>
    </row>
    <row r="528">
      <c r="C528" s="11"/>
    </row>
    <row r="529">
      <c r="C529" s="11"/>
    </row>
    <row r="530">
      <c r="C530" s="11"/>
    </row>
    <row r="531">
      <c r="C531" s="11"/>
    </row>
    <row r="532">
      <c r="C532" s="11"/>
    </row>
    <row r="533">
      <c r="C533" s="11"/>
    </row>
    <row r="534">
      <c r="C534" s="11"/>
    </row>
    <row r="535">
      <c r="C535" s="11"/>
    </row>
    <row r="536">
      <c r="C536" s="11"/>
    </row>
    <row r="537">
      <c r="C537" s="11"/>
    </row>
    <row r="538">
      <c r="C538" s="11"/>
    </row>
    <row r="539">
      <c r="C539" s="11"/>
    </row>
    <row r="540">
      <c r="C540" s="11"/>
    </row>
    <row r="541">
      <c r="C541" s="11"/>
    </row>
    <row r="542">
      <c r="C542" s="11"/>
    </row>
    <row r="543">
      <c r="C543" s="11"/>
    </row>
    <row r="544">
      <c r="C544" s="11"/>
    </row>
    <row r="545">
      <c r="C545" s="11"/>
    </row>
    <row r="546">
      <c r="C546" s="11"/>
    </row>
    <row r="547">
      <c r="C547" s="11"/>
    </row>
    <row r="548">
      <c r="C548" s="11"/>
    </row>
    <row r="549">
      <c r="C549" s="11"/>
    </row>
    <row r="550">
      <c r="C550" s="11"/>
    </row>
    <row r="551">
      <c r="C551" s="11"/>
    </row>
    <row r="552">
      <c r="C552" s="11"/>
    </row>
    <row r="553">
      <c r="C553" s="11"/>
    </row>
    <row r="554">
      <c r="C554" s="11"/>
    </row>
    <row r="555">
      <c r="C555" s="11"/>
    </row>
    <row r="556">
      <c r="C556" s="11"/>
    </row>
    <row r="557">
      <c r="C557" s="11"/>
    </row>
    <row r="558">
      <c r="C558" s="11"/>
    </row>
    <row r="559">
      <c r="C559" s="11"/>
    </row>
    <row r="560">
      <c r="C560" s="11"/>
    </row>
    <row r="561">
      <c r="C561" s="11"/>
    </row>
    <row r="562">
      <c r="C562" s="11"/>
    </row>
    <row r="563">
      <c r="C563" s="11"/>
    </row>
    <row r="564">
      <c r="C564" s="11"/>
    </row>
    <row r="565">
      <c r="C565" s="11"/>
    </row>
    <row r="566">
      <c r="C566" s="11"/>
    </row>
    <row r="567">
      <c r="C567" s="11"/>
    </row>
    <row r="568">
      <c r="C568" s="11"/>
    </row>
    <row r="569">
      <c r="C569" s="11"/>
    </row>
    <row r="570">
      <c r="C570" s="11"/>
    </row>
    <row r="571">
      <c r="C571" s="11"/>
    </row>
    <row r="572">
      <c r="C572" s="11"/>
    </row>
    <row r="573">
      <c r="C573" s="11"/>
    </row>
    <row r="574">
      <c r="C574" s="11"/>
    </row>
    <row r="575">
      <c r="C575" s="11"/>
    </row>
    <row r="576">
      <c r="C576" s="11"/>
    </row>
    <row r="577">
      <c r="C577" s="11"/>
    </row>
    <row r="578">
      <c r="C578" s="11"/>
    </row>
    <row r="579">
      <c r="C579" s="11"/>
    </row>
    <row r="580">
      <c r="C580" s="11"/>
    </row>
    <row r="581">
      <c r="C581" s="11"/>
    </row>
    <row r="582">
      <c r="C582" s="11"/>
    </row>
    <row r="583">
      <c r="C583" s="11"/>
    </row>
    <row r="584">
      <c r="C584" s="11"/>
    </row>
    <row r="585">
      <c r="C585" s="11"/>
    </row>
    <row r="586">
      <c r="C586" s="11"/>
    </row>
    <row r="587">
      <c r="C587" s="11"/>
    </row>
    <row r="588">
      <c r="C588" s="11"/>
    </row>
    <row r="589">
      <c r="C589" s="11"/>
    </row>
    <row r="590">
      <c r="C590" s="11"/>
    </row>
    <row r="591">
      <c r="C591" s="11"/>
    </row>
    <row r="592">
      <c r="C592" s="11"/>
    </row>
    <row r="593">
      <c r="C593" s="11"/>
    </row>
    <row r="594">
      <c r="C594" s="11"/>
    </row>
    <row r="595">
      <c r="C595" s="11"/>
    </row>
    <row r="596">
      <c r="C596" s="11"/>
    </row>
    <row r="597">
      <c r="C597" s="11"/>
    </row>
    <row r="598">
      <c r="C598" s="11"/>
    </row>
    <row r="599">
      <c r="C599" s="11"/>
    </row>
    <row r="600">
      <c r="C600" s="11"/>
    </row>
    <row r="601">
      <c r="C601" s="11"/>
    </row>
    <row r="602">
      <c r="C602" s="11"/>
    </row>
    <row r="603">
      <c r="C603" s="11"/>
    </row>
    <row r="604">
      <c r="C604" s="11"/>
    </row>
    <row r="605">
      <c r="C605" s="11"/>
    </row>
    <row r="606">
      <c r="C606" s="11"/>
    </row>
    <row r="607">
      <c r="C607" s="11"/>
    </row>
    <row r="608">
      <c r="C608" s="11"/>
    </row>
    <row r="609">
      <c r="C609" s="11"/>
    </row>
    <row r="610">
      <c r="C610" s="11"/>
    </row>
    <row r="611">
      <c r="C611" s="11"/>
    </row>
    <row r="612">
      <c r="C612" s="11"/>
    </row>
    <row r="613">
      <c r="C613" s="11"/>
    </row>
    <row r="614">
      <c r="C614" s="11"/>
    </row>
    <row r="615">
      <c r="C615" s="11"/>
    </row>
    <row r="616">
      <c r="C616" s="11"/>
    </row>
    <row r="617">
      <c r="C617" s="11"/>
    </row>
    <row r="618">
      <c r="C618" s="11"/>
    </row>
    <row r="619">
      <c r="C619" s="11"/>
    </row>
    <row r="620">
      <c r="C620" s="11"/>
    </row>
    <row r="621">
      <c r="C621" s="11"/>
    </row>
    <row r="622">
      <c r="C622" s="11"/>
    </row>
    <row r="623">
      <c r="C623" s="11"/>
    </row>
    <row r="624">
      <c r="C624" s="11"/>
    </row>
    <row r="625">
      <c r="C625" s="11"/>
    </row>
    <row r="626">
      <c r="C626" s="11"/>
    </row>
    <row r="627">
      <c r="C627" s="11"/>
    </row>
    <row r="628">
      <c r="C628" s="11"/>
    </row>
    <row r="629">
      <c r="C629" s="11"/>
    </row>
    <row r="630">
      <c r="C630" s="11"/>
    </row>
    <row r="631">
      <c r="C631" s="11"/>
    </row>
    <row r="632">
      <c r="C632" s="11"/>
    </row>
    <row r="633">
      <c r="C633" s="11"/>
    </row>
    <row r="634">
      <c r="C634" s="11"/>
    </row>
    <row r="635">
      <c r="C635" s="11"/>
    </row>
    <row r="636">
      <c r="C636" s="11"/>
    </row>
    <row r="637">
      <c r="C637" s="11"/>
    </row>
    <row r="638">
      <c r="C638" s="11"/>
    </row>
    <row r="639">
      <c r="C639" s="11"/>
    </row>
    <row r="640">
      <c r="C640" s="11"/>
    </row>
    <row r="641">
      <c r="C641" s="11"/>
    </row>
    <row r="642">
      <c r="C642" s="11"/>
    </row>
    <row r="643">
      <c r="C643" s="11"/>
    </row>
    <row r="644">
      <c r="C644" s="11"/>
    </row>
    <row r="645">
      <c r="C645" s="11"/>
    </row>
    <row r="646">
      <c r="C646" s="11"/>
    </row>
    <row r="647">
      <c r="C647" s="11"/>
    </row>
    <row r="648">
      <c r="C648" s="11"/>
    </row>
    <row r="649">
      <c r="C649" s="11"/>
    </row>
    <row r="650">
      <c r="C650" s="11"/>
    </row>
    <row r="651">
      <c r="C651" s="11"/>
    </row>
    <row r="652">
      <c r="C652" s="11"/>
    </row>
    <row r="653">
      <c r="C653" s="11"/>
    </row>
    <row r="654">
      <c r="C654" s="11"/>
    </row>
    <row r="655">
      <c r="C655" s="11"/>
    </row>
    <row r="656">
      <c r="C656" s="11"/>
    </row>
    <row r="657">
      <c r="C657" s="11"/>
    </row>
    <row r="658">
      <c r="C658" s="11"/>
    </row>
    <row r="659">
      <c r="C659" s="11"/>
    </row>
    <row r="660">
      <c r="C660" s="11"/>
    </row>
    <row r="661">
      <c r="C661" s="11"/>
    </row>
    <row r="662">
      <c r="C662" s="11"/>
    </row>
    <row r="663">
      <c r="C663" s="11"/>
    </row>
    <row r="664">
      <c r="C664" s="11"/>
    </row>
    <row r="665">
      <c r="C665" s="11"/>
    </row>
    <row r="666">
      <c r="C666" s="11"/>
    </row>
    <row r="667">
      <c r="C667" s="11"/>
    </row>
    <row r="668">
      <c r="C668" s="11"/>
    </row>
    <row r="669">
      <c r="C669" s="11"/>
    </row>
    <row r="670">
      <c r="C670" s="11"/>
    </row>
    <row r="671">
      <c r="C671" s="11"/>
    </row>
    <row r="672">
      <c r="C672" s="11"/>
    </row>
    <row r="673">
      <c r="C673" s="11"/>
    </row>
    <row r="674">
      <c r="C674" s="11"/>
    </row>
    <row r="675">
      <c r="C675" s="11"/>
    </row>
    <row r="676">
      <c r="C676" s="11"/>
    </row>
    <row r="677">
      <c r="C677" s="11"/>
    </row>
    <row r="678">
      <c r="C678" s="11"/>
    </row>
    <row r="679">
      <c r="C679" s="11"/>
    </row>
    <row r="680">
      <c r="C680" s="11"/>
    </row>
    <row r="681">
      <c r="C681" s="11"/>
    </row>
    <row r="682">
      <c r="C682" s="11"/>
    </row>
    <row r="683">
      <c r="C683" s="11"/>
    </row>
    <row r="684">
      <c r="C684" s="11"/>
    </row>
    <row r="685">
      <c r="C685" s="11"/>
    </row>
    <row r="686">
      <c r="C686" s="11"/>
    </row>
    <row r="687">
      <c r="C687" s="11"/>
    </row>
    <row r="688">
      <c r="C688" s="11"/>
    </row>
    <row r="689">
      <c r="C689" s="11"/>
    </row>
    <row r="690">
      <c r="C690" s="11"/>
    </row>
    <row r="691">
      <c r="C691" s="11"/>
    </row>
    <row r="692">
      <c r="C692" s="11"/>
    </row>
    <row r="693">
      <c r="C693" s="11"/>
    </row>
    <row r="694">
      <c r="C694" s="11"/>
    </row>
    <row r="695">
      <c r="C695" s="11"/>
    </row>
    <row r="696">
      <c r="C696" s="11"/>
    </row>
    <row r="697">
      <c r="C697" s="11"/>
    </row>
    <row r="698">
      <c r="C698" s="11"/>
    </row>
    <row r="699">
      <c r="C699" s="11"/>
    </row>
    <row r="700">
      <c r="C700" s="11"/>
    </row>
    <row r="701">
      <c r="C701" s="11"/>
    </row>
    <row r="702">
      <c r="C702" s="11"/>
    </row>
    <row r="703">
      <c r="C703" s="11"/>
    </row>
    <row r="704">
      <c r="C704" s="11"/>
    </row>
    <row r="705">
      <c r="C705" s="11"/>
    </row>
    <row r="706">
      <c r="C706" s="11"/>
    </row>
    <row r="707">
      <c r="C707" s="11"/>
    </row>
    <row r="708">
      <c r="C708" s="11"/>
    </row>
    <row r="709">
      <c r="C709" s="11"/>
    </row>
    <row r="710">
      <c r="C710" s="11"/>
    </row>
    <row r="711">
      <c r="C711" s="11"/>
    </row>
    <row r="712">
      <c r="C712" s="11"/>
    </row>
    <row r="713">
      <c r="C713" s="11"/>
    </row>
    <row r="714">
      <c r="C714" s="11"/>
    </row>
    <row r="715">
      <c r="C715" s="11"/>
    </row>
    <row r="716">
      <c r="C716" s="11"/>
    </row>
    <row r="717">
      <c r="C717" s="11"/>
    </row>
    <row r="718">
      <c r="C718" s="11"/>
    </row>
    <row r="719">
      <c r="C719" s="11"/>
    </row>
    <row r="720">
      <c r="C720" s="11"/>
    </row>
    <row r="721">
      <c r="C721" s="11"/>
    </row>
    <row r="722">
      <c r="C722" s="11"/>
    </row>
    <row r="723">
      <c r="C723" s="11"/>
    </row>
    <row r="724">
      <c r="C724" s="11"/>
    </row>
    <row r="725">
      <c r="C725" s="11"/>
    </row>
    <row r="726">
      <c r="C726" s="11"/>
    </row>
    <row r="727">
      <c r="C727" s="11"/>
    </row>
    <row r="728">
      <c r="C728" s="11"/>
    </row>
    <row r="729">
      <c r="C729" s="11"/>
    </row>
    <row r="730">
      <c r="C730" s="11"/>
    </row>
    <row r="731">
      <c r="C731" s="11"/>
    </row>
    <row r="732">
      <c r="C732" s="11"/>
    </row>
    <row r="733">
      <c r="C733" s="11"/>
    </row>
    <row r="734">
      <c r="C734" s="11"/>
    </row>
    <row r="735">
      <c r="C735" s="11"/>
    </row>
    <row r="736">
      <c r="C736" s="11"/>
    </row>
    <row r="737">
      <c r="C737" s="11"/>
    </row>
    <row r="738">
      <c r="C738" s="11"/>
    </row>
    <row r="739">
      <c r="C739" s="11"/>
    </row>
    <row r="740">
      <c r="C740" s="11"/>
    </row>
    <row r="741">
      <c r="C741" s="11"/>
    </row>
    <row r="742">
      <c r="C742" s="11"/>
    </row>
    <row r="743">
      <c r="C743" s="11"/>
    </row>
    <row r="744">
      <c r="C744" s="11"/>
    </row>
    <row r="745">
      <c r="C745" s="11"/>
    </row>
    <row r="746">
      <c r="C746" s="11"/>
    </row>
    <row r="747">
      <c r="C747" s="11"/>
    </row>
    <row r="748">
      <c r="C748" s="11"/>
    </row>
    <row r="749">
      <c r="C749" s="11"/>
    </row>
    <row r="750">
      <c r="C750" s="11"/>
    </row>
    <row r="751">
      <c r="C751" s="11"/>
    </row>
    <row r="752">
      <c r="C752" s="11"/>
    </row>
    <row r="753">
      <c r="C753" s="11"/>
    </row>
    <row r="754">
      <c r="C754" s="11"/>
    </row>
    <row r="755">
      <c r="C755" s="11"/>
    </row>
    <row r="756">
      <c r="C756" s="11"/>
    </row>
    <row r="757">
      <c r="C757" s="11"/>
    </row>
    <row r="758">
      <c r="C758" s="11"/>
    </row>
    <row r="759">
      <c r="C759" s="11"/>
    </row>
    <row r="760">
      <c r="C760" s="11"/>
    </row>
    <row r="761">
      <c r="C761" s="11"/>
    </row>
    <row r="762">
      <c r="C762" s="11"/>
    </row>
    <row r="763">
      <c r="C763" s="11"/>
    </row>
    <row r="764">
      <c r="C764" s="11"/>
    </row>
    <row r="765">
      <c r="C765" s="11"/>
    </row>
    <row r="766">
      <c r="C766" s="11"/>
    </row>
    <row r="767">
      <c r="C767" s="11"/>
    </row>
    <row r="768">
      <c r="C768" s="11"/>
    </row>
    <row r="769">
      <c r="C769" s="11"/>
    </row>
    <row r="770">
      <c r="C770" s="11"/>
    </row>
    <row r="771">
      <c r="C771" s="11"/>
    </row>
    <row r="772">
      <c r="C772" s="11"/>
    </row>
    <row r="773">
      <c r="C773" s="11"/>
    </row>
    <row r="774">
      <c r="C774" s="11"/>
    </row>
    <row r="775">
      <c r="C775" s="11"/>
    </row>
    <row r="776">
      <c r="C776" s="11"/>
    </row>
    <row r="777">
      <c r="C777" s="11"/>
    </row>
    <row r="778">
      <c r="C778" s="11"/>
    </row>
    <row r="779">
      <c r="C779" s="11"/>
    </row>
    <row r="780">
      <c r="C780" s="11"/>
    </row>
    <row r="781">
      <c r="C781" s="11"/>
    </row>
    <row r="782">
      <c r="C782" s="11"/>
    </row>
    <row r="783">
      <c r="C783" s="11"/>
    </row>
    <row r="784">
      <c r="C784" s="11"/>
    </row>
    <row r="785">
      <c r="C785" s="11"/>
    </row>
    <row r="786">
      <c r="C786" s="11"/>
    </row>
    <row r="787">
      <c r="C787" s="11"/>
    </row>
    <row r="788">
      <c r="C788" s="11"/>
    </row>
    <row r="789">
      <c r="C789" s="11"/>
    </row>
    <row r="790">
      <c r="C790" s="11"/>
    </row>
    <row r="791">
      <c r="C791" s="11"/>
    </row>
    <row r="792">
      <c r="C792" s="11"/>
    </row>
    <row r="793">
      <c r="C793" s="11"/>
    </row>
    <row r="794">
      <c r="C794" s="11"/>
    </row>
    <row r="795">
      <c r="C795" s="11"/>
    </row>
    <row r="796">
      <c r="C796" s="11"/>
    </row>
    <row r="797">
      <c r="C797" s="11"/>
    </row>
    <row r="798">
      <c r="C798" s="11"/>
    </row>
    <row r="799">
      <c r="C799" s="11"/>
    </row>
    <row r="800">
      <c r="C800" s="11"/>
    </row>
    <row r="801">
      <c r="C801" s="11"/>
    </row>
    <row r="802">
      <c r="C802" s="11"/>
    </row>
    <row r="803">
      <c r="C803" s="11"/>
    </row>
    <row r="804">
      <c r="C804" s="11"/>
    </row>
    <row r="805">
      <c r="C805" s="11"/>
    </row>
    <row r="806">
      <c r="C806" s="11"/>
    </row>
    <row r="807">
      <c r="C807" s="11"/>
    </row>
    <row r="808">
      <c r="C808" s="11"/>
    </row>
    <row r="809">
      <c r="C809" s="11"/>
    </row>
    <row r="810">
      <c r="C810" s="11"/>
    </row>
    <row r="811">
      <c r="C811" s="11"/>
    </row>
    <row r="812">
      <c r="C812" s="11"/>
    </row>
    <row r="813">
      <c r="C813" s="11"/>
    </row>
    <row r="814">
      <c r="C814" s="11"/>
    </row>
    <row r="815">
      <c r="C815" s="11"/>
    </row>
    <row r="816">
      <c r="C816" s="11"/>
    </row>
    <row r="817">
      <c r="C817" s="11"/>
    </row>
    <row r="818">
      <c r="C818" s="11"/>
    </row>
    <row r="819">
      <c r="C819" s="11"/>
    </row>
    <row r="820">
      <c r="C820" s="11"/>
    </row>
    <row r="821">
      <c r="C821" s="11"/>
    </row>
    <row r="822">
      <c r="C822" s="11"/>
    </row>
    <row r="823">
      <c r="C823" s="11"/>
    </row>
    <row r="824">
      <c r="C824" s="11"/>
    </row>
    <row r="825">
      <c r="C825" s="11"/>
    </row>
    <row r="826">
      <c r="C826" s="11"/>
    </row>
    <row r="827">
      <c r="C827" s="11"/>
    </row>
    <row r="828">
      <c r="C828" s="11"/>
    </row>
    <row r="829">
      <c r="C829" s="11"/>
    </row>
    <row r="830">
      <c r="C830" s="11"/>
    </row>
    <row r="831">
      <c r="C831" s="11"/>
    </row>
    <row r="832">
      <c r="C832" s="11"/>
    </row>
    <row r="833">
      <c r="C833" s="11"/>
    </row>
    <row r="834">
      <c r="C834" s="11"/>
    </row>
    <row r="835">
      <c r="C835" s="11"/>
    </row>
    <row r="836">
      <c r="C836" s="11"/>
    </row>
    <row r="837">
      <c r="C837" s="11"/>
    </row>
    <row r="838">
      <c r="C838" s="11"/>
    </row>
    <row r="839">
      <c r="C839" s="11"/>
    </row>
    <row r="840">
      <c r="C840" s="11"/>
    </row>
    <row r="841">
      <c r="C841" s="11"/>
    </row>
    <row r="842">
      <c r="C842" s="11"/>
    </row>
    <row r="843">
      <c r="C843" s="11"/>
    </row>
    <row r="844">
      <c r="C844" s="11"/>
    </row>
    <row r="845">
      <c r="C845" s="11"/>
    </row>
    <row r="846">
      <c r="C846" s="11"/>
    </row>
    <row r="847">
      <c r="C847" s="11"/>
    </row>
    <row r="848">
      <c r="C848" s="11"/>
    </row>
    <row r="849">
      <c r="C849" s="11"/>
    </row>
    <row r="850">
      <c r="C850" s="11"/>
    </row>
    <row r="851">
      <c r="C851" s="11"/>
    </row>
    <row r="852">
      <c r="C852" s="11"/>
    </row>
    <row r="853">
      <c r="C853" s="11"/>
    </row>
    <row r="854">
      <c r="C854" s="11"/>
    </row>
    <row r="855">
      <c r="C855" s="11"/>
    </row>
    <row r="856">
      <c r="C856" s="11"/>
    </row>
    <row r="857">
      <c r="C857" s="11"/>
    </row>
    <row r="858">
      <c r="C858" s="11"/>
    </row>
    <row r="859">
      <c r="C859" s="11"/>
    </row>
    <row r="860">
      <c r="C860" s="11"/>
    </row>
    <row r="861">
      <c r="C861" s="11"/>
    </row>
    <row r="862">
      <c r="C862" s="11"/>
    </row>
    <row r="863">
      <c r="C863" s="11"/>
    </row>
    <row r="864">
      <c r="C864" s="11"/>
    </row>
    <row r="865">
      <c r="C865" s="11"/>
    </row>
    <row r="866">
      <c r="C866" s="11"/>
    </row>
    <row r="867">
      <c r="C867" s="11"/>
    </row>
    <row r="868">
      <c r="C868" s="11"/>
    </row>
    <row r="869">
      <c r="C869" s="11"/>
    </row>
    <row r="870">
      <c r="C870" s="11"/>
    </row>
    <row r="871">
      <c r="C871" s="11"/>
    </row>
    <row r="872">
      <c r="C872" s="11"/>
    </row>
    <row r="873">
      <c r="C873" s="11"/>
    </row>
    <row r="874">
      <c r="C874" s="11"/>
    </row>
    <row r="875">
      <c r="C875" s="11"/>
    </row>
    <row r="876">
      <c r="C876" s="11"/>
    </row>
    <row r="877">
      <c r="C877" s="11"/>
    </row>
    <row r="878">
      <c r="C878" s="11"/>
    </row>
    <row r="879">
      <c r="C879" s="11"/>
    </row>
    <row r="880">
      <c r="C880" s="11"/>
    </row>
    <row r="881">
      <c r="C881" s="11"/>
    </row>
    <row r="882">
      <c r="C882" s="11"/>
    </row>
    <row r="883">
      <c r="C883" s="11"/>
    </row>
    <row r="884">
      <c r="C884" s="11"/>
    </row>
    <row r="885">
      <c r="C885" s="11"/>
    </row>
    <row r="886">
      <c r="C886" s="11"/>
    </row>
    <row r="887">
      <c r="C887" s="11"/>
    </row>
    <row r="888">
      <c r="C888" s="11"/>
    </row>
    <row r="889">
      <c r="C889" s="11"/>
    </row>
    <row r="890">
      <c r="C890" s="11"/>
    </row>
    <row r="891">
      <c r="C891" s="11"/>
    </row>
    <row r="892">
      <c r="C892" s="11"/>
    </row>
    <row r="893">
      <c r="C893" s="11"/>
    </row>
    <row r="894">
      <c r="C894" s="11"/>
    </row>
    <row r="895">
      <c r="C895" s="11"/>
    </row>
    <row r="896">
      <c r="C896" s="11"/>
    </row>
    <row r="897">
      <c r="C897" s="11"/>
    </row>
    <row r="898">
      <c r="C898" s="11"/>
    </row>
    <row r="899">
      <c r="C899" s="11"/>
    </row>
    <row r="900">
      <c r="C900" s="11"/>
    </row>
    <row r="901">
      <c r="C901" s="11"/>
    </row>
    <row r="902">
      <c r="C902" s="11"/>
    </row>
    <row r="903">
      <c r="C903" s="11"/>
    </row>
    <row r="904">
      <c r="C904" s="11"/>
    </row>
    <row r="905">
      <c r="C905" s="11"/>
    </row>
    <row r="906">
      <c r="C906" s="11"/>
    </row>
    <row r="907">
      <c r="C907" s="11"/>
    </row>
    <row r="908">
      <c r="C908" s="11"/>
    </row>
    <row r="909">
      <c r="C909" s="11"/>
    </row>
    <row r="910">
      <c r="C910" s="11"/>
    </row>
    <row r="911">
      <c r="C911" s="11"/>
    </row>
    <row r="912">
      <c r="C912" s="11"/>
    </row>
    <row r="913">
      <c r="C913" s="11"/>
    </row>
    <row r="914">
      <c r="C914" s="11"/>
    </row>
    <row r="915">
      <c r="C915" s="11"/>
    </row>
    <row r="916">
      <c r="C916" s="11"/>
    </row>
    <row r="917">
      <c r="C917" s="11"/>
    </row>
    <row r="918">
      <c r="C918" s="11"/>
    </row>
    <row r="919">
      <c r="C919" s="11"/>
    </row>
    <row r="920">
      <c r="C920" s="11"/>
    </row>
    <row r="921">
      <c r="C921" s="11"/>
    </row>
    <row r="922">
      <c r="C922" s="11"/>
    </row>
    <row r="923">
      <c r="C923" s="11"/>
    </row>
    <row r="924">
      <c r="C924" s="11"/>
    </row>
    <row r="925">
      <c r="C925" s="11"/>
    </row>
    <row r="926">
      <c r="C926" s="11"/>
    </row>
    <row r="927">
      <c r="C927" s="11"/>
    </row>
    <row r="928">
      <c r="C928" s="11"/>
    </row>
    <row r="929">
      <c r="C929" s="11"/>
    </row>
    <row r="930">
      <c r="C930" s="11"/>
    </row>
    <row r="931">
      <c r="C931" s="11"/>
    </row>
    <row r="932">
      <c r="C932" s="11"/>
    </row>
    <row r="933">
      <c r="C933" s="11"/>
    </row>
    <row r="934">
      <c r="C934" s="11"/>
    </row>
    <row r="935">
      <c r="C935" s="11"/>
    </row>
    <row r="936">
      <c r="C936" s="11"/>
    </row>
    <row r="937">
      <c r="C937" s="11"/>
    </row>
    <row r="938">
      <c r="C938" s="11"/>
    </row>
    <row r="939">
      <c r="C939" s="11"/>
    </row>
    <row r="940">
      <c r="C940" s="11"/>
    </row>
    <row r="941">
      <c r="C941" s="11"/>
    </row>
    <row r="942">
      <c r="C942" s="11"/>
    </row>
    <row r="943">
      <c r="C943" s="11"/>
    </row>
    <row r="944">
      <c r="C944" s="11"/>
    </row>
    <row r="945">
      <c r="C945" s="11"/>
    </row>
    <row r="946">
      <c r="C946" s="11"/>
    </row>
    <row r="947">
      <c r="C947" s="11"/>
    </row>
    <row r="948">
      <c r="C948" s="11"/>
    </row>
    <row r="949">
      <c r="C949" s="11"/>
    </row>
    <row r="950">
      <c r="C950" s="11"/>
    </row>
    <row r="951">
      <c r="C951" s="11"/>
    </row>
    <row r="952">
      <c r="C952" s="11"/>
    </row>
    <row r="953">
      <c r="C953" s="11"/>
    </row>
    <row r="954">
      <c r="C954" s="11"/>
    </row>
    <row r="955">
      <c r="C955" s="11"/>
    </row>
    <row r="956">
      <c r="C956" s="11"/>
    </row>
    <row r="957">
      <c r="C957" s="11"/>
    </row>
    <row r="958">
      <c r="C958" s="11"/>
    </row>
    <row r="959">
      <c r="C959" s="11"/>
    </row>
    <row r="960">
      <c r="C960" s="11"/>
    </row>
    <row r="961">
      <c r="C961" s="11"/>
    </row>
    <row r="962">
      <c r="C962" s="11"/>
    </row>
    <row r="963">
      <c r="C963" s="11"/>
    </row>
    <row r="964">
      <c r="C964" s="11"/>
    </row>
    <row r="965">
      <c r="C965" s="11"/>
    </row>
    <row r="966">
      <c r="C966" s="11"/>
    </row>
    <row r="967">
      <c r="C967" s="11"/>
    </row>
    <row r="968">
      <c r="C968" s="11"/>
    </row>
    <row r="969">
      <c r="C969" s="11"/>
    </row>
    <row r="970">
      <c r="C970" s="11"/>
    </row>
    <row r="971">
      <c r="C971" s="11"/>
    </row>
    <row r="972">
      <c r="C972" s="11"/>
    </row>
    <row r="973">
      <c r="C973" s="11"/>
    </row>
    <row r="974">
      <c r="C974" s="11"/>
    </row>
    <row r="975">
      <c r="C975" s="11"/>
    </row>
    <row r="976">
      <c r="C976" s="11"/>
    </row>
    <row r="977">
      <c r="C977" s="11"/>
    </row>
    <row r="978">
      <c r="C978" s="11"/>
    </row>
    <row r="979">
      <c r="C979" s="11"/>
    </row>
    <row r="980">
      <c r="C980" s="11"/>
    </row>
    <row r="981">
      <c r="C981" s="11"/>
    </row>
    <row r="982">
      <c r="C982" s="11"/>
    </row>
    <row r="983">
      <c r="C983" s="11"/>
    </row>
    <row r="984">
      <c r="C984" s="11"/>
    </row>
    <row r="985">
      <c r="C985" s="11"/>
    </row>
    <row r="986">
      <c r="C986" s="11"/>
    </row>
    <row r="987">
      <c r="C987" s="11"/>
    </row>
    <row r="988">
      <c r="C988" s="11"/>
    </row>
    <row r="989">
      <c r="C989" s="11"/>
    </row>
    <row r="990">
      <c r="C990" s="11"/>
    </row>
    <row r="991">
      <c r="C991" s="11"/>
    </row>
    <row r="992">
      <c r="C992" s="11"/>
    </row>
    <row r="993">
      <c r="C993" s="11"/>
    </row>
    <row r="994">
      <c r="C994" s="11"/>
    </row>
    <row r="995">
      <c r="C995" s="11"/>
    </row>
    <row r="996">
      <c r="C996" s="11"/>
    </row>
    <row r="997">
      <c r="C997" s="11"/>
    </row>
    <row r="998">
      <c r="C998" s="11"/>
    </row>
    <row r="999">
      <c r="C999" s="11"/>
    </row>
    <row r="1000">
      <c r="C1000" s="1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3.63"/>
  </cols>
  <sheetData>
    <row r="1">
      <c r="A1" s="12" t="s">
        <v>573</v>
      </c>
      <c r="B1" s="3" t="s">
        <v>574</v>
      </c>
      <c r="C1" s="3" t="s">
        <v>575</v>
      </c>
      <c r="D1" s="13" t="s">
        <v>576</v>
      </c>
    </row>
    <row r="2">
      <c r="A2" s="12" t="s">
        <v>577</v>
      </c>
      <c r="B2" s="3" t="s">
        <v>578</v>
      </c>
      <c r="C2" s="3" t="s">
        <v>579</v>
      </c>
      <c r="D2" s="3" t="s">
        <v>580</v>
      </c>
      <c r="E2" s="3" t="s">
        <v>581</v>
      </c>
    </row>
    <row r="3">
      <c r="A3" s="12" t="s">
        <v>582</v>
      </c>
      <c r="B3" s="3" t="s">
        <v>583</v>
      </c>
      <c r="C3" s="3" t="s">
        <v>584</v>
      </c>
      <c r="D3" s="3" t="s">
        <v>585</v>
      </c>
      <c r="E3" s="3" t="s">
        <v>586</v>
      </c>
      <c r="F3" s="3" t="s">
        <v>587</v>
      </c>
    </row>
    <row r="4">
      <c r="A4" s="12" t="s">
        <v>582</v>
      </c>
      <c r="B4" s="3" t="s">
        <v>588</v>
      </c>
      <c r="C4" s="3" t="s">
        <v>589</v>
      </c>
      <c r="D4" s="3" t="s">
        <v>590</v>
      </c>
      <c r="E4" s="3" t="s">
        <v>591</v>
      </c>
      <c r="F4" s="3" t="s">
        <v>587</v>
      </c>
    </row>
    <row r="5">
      <c r="A5" s="12" t="s">
        <v>592</v>
      </c>
      <c r="B5" s="3" t="s">
        <v>590</v>
      </c>
      <c r="C5" s="3" t="s">
        <v>593</v>
      </c>
      <c r="D5" s="3" t="s">
        <v>594</v>
      </c>
      <c r="E5" s="3" t="s">
        <v>595</v>
      </c>
    </row>
    <row r="6">
      <c r="A6" s="12" t="s">
        <v>596</v>
      </c>
      <c r="B6" s="3" t="s">
        <v>597</v>
      </c>
      <c r="C6" s="3" t="s">
        <v>598</v>
      </c>
      <c r="D6" s="3" t="s">
        <v>599</v>
      </c>
      <c r="E6" s="3" t="s">
        <v>600</v>
      </c>
      <c r="F6" s="3" t="s">
        <v>601</v>
      </c>
      <c r="G6" s="3" t="s">
        <v>602</v>
      </c>
      <c r="H6" s="3" t="s">
        <v>603</v>
      </c>
    </row>
    <row r="7">
      <c r="A7" s="12" t="s">
        <v>604</v>
      </c>
      <c r="B7" s="3" t="s">
        <v>605</v>
      </c>
      <c r="C7" s="3" t="s">
        <v>606</v>
      </c>
      <c r="D7" s="3" t="s">
        <v>607</v>
      </c>
      <c r="E7" s="3" t="s">
        <v>603</v>
      </c>
      <c r="F7" s="3" t="s">
        <v>597</v>
      </c>
      <c r="G7" s="3" t="s">
        <v>608</v>
      </c>
      <c r="H7" s="3" t="s">
        <v>609</v>
      </c>
      <c r="I7" s="3" t="s">
        <v>610</v>
      </c>
      <c r="J7" s="3" t="s">
        <v>611</v>
      </c>
    </row>
    <row r="8">
      <c r="A8" s="12" t="s">
        <v>612</v>
      </c>
      <c r="B8" s="3" t="s">
        <v>613</v>
      </c>
      <c r="C8" s="3" t="s">
        <v>614</v>
      </c>
      <c r="D8" s="3" t="s">
        <v>615</v>
      </c>
      <c r="E8" s="3" t="s">
        <v>616</v>
      </c>
      <c r="F8" s="3" t="s">
        <v>617</v>
      </c>
      <c r="G8" s="3" t="s">
        <v>618</v>
      </c>
      <c r="H8" s="3" t="s">
        <v>619</v>
      </c>
    </row>
    <row r="9">
      <c r="A9" s="14" t="s">
        <v>620</v>
      </c>
      <c r="B9" s="3" t="s">
        <v>621</v>
      </c>
      <c r="C9" s="3" t="s">
        <v>622</v>
      </c>
    </row>
    <row r="10">
      <c r="A10" s="12" t="s">
        <v>623</v>
      </c>
      <c r="B10" s="3" t="s">
        <v>624</v>
      </c>
      <c r="C10" s="3" t="s">
        <v>625</v>
      </c>
      <c r="D10" s="3" t="s">
        <v>626</v>
      </c>
      <c r="E10" s="3" t="s">
        <v>627</v>
      </c>
    </row>
    <row r="11">
      <c r="A11" s="12" t="s">
        <v>628</v>
      </c>
      <c r="B11" s="3" t="s">
        <v>629</v>
      </c>
      <c r="C11" s="3" t="s">
        <v>630</v>
      </c>
      <c r="D11" s="3" t="s">
        <v>631</v>
      </c>
      <c r="E11" s="3" t="s">
        <v>632</v>
      </c>
      <c r="F11" s="3" t="s">
        <v>633</v>
      </c>
      <c r="G11" s="3" t="s">
        <v>634</v>
      </c>
      <c r="H11" s="3" t="s">
        <v>635</v>
      </c>
    </row>
    <row r="12">
      <c r="A12" s="14" t="s">
        <v>636</v>
      </c>
      <c r="B12" s="3" t="s">
        <v>637</v>
      </c>
      <c r="C12" s="3" t="s">
        <v>626</v>
      </c>
    </row>
  </sheetData>
  <drawing r:id="rId1"/>
</worksheet>
</file>